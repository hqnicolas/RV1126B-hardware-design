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-270" windowWidth="14790" windowHeight="15300"/>
  </bookViews>
  <sheets>
    <sheet name="Pin Delay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13" i="1" l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112" i="1"/>
  <c r="H191" i="1"/>
  <c r="H189" i="1"/>
  <c r="G230" i="1" l="1"/>
  <c r="D120" i="1"/>
  <c r="E120" i="1" s="1"/>
  <c r="G120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G112" i="1" s="1"/>
  <c r="D113" i="1"/>
  <c r="E113" i="1" s="1"/>
  <c r="G113" i="1" s="1"/>
  <c r="D114" i="1"/>
  <c r="E114" i="1" s="1"/>
  <c r="G114" i="1" s="1"/>
  <c r="D115" i="1"/>
  <c r="E115" i="1" s="1"/>
  <c r="G115" i="1" s="1"/>
  <c r="D116" i="1"/>
  <c r="E116" i="1" s="1"/>
  <c r="G116" i="1" s="1"/>
  <c r="D117" i="1"/>
  <c r="E117" i="1" s="1"/>
  <c r="G117" i="1" s="1"/>
  <c r="D118" i="1"/>
  <c r="E118" i="1" s="1"/>
  <c r="G118" i="1" s="1"/>
  <c r="D119" i="1"/>
  <c r="E119" i="1" s="1"/>
  <c r="G119" i="1" s="1"/>
  <c r="D121" i="1"/>
  <c r="E121" i="1" s="1"/>
  <c r="G121" i="1" s="1"/>
  <c r="D122" i="1"/>
  <c r="E122" i="1" s="1"/>
  <c r="D123" i="1"/>
  <c r="E123" i="1" s="1"/>
  <c r="G123" i="1" s="1"/>
  <c r="D124" i="1"/>
  <c r="E124" i="1" s="1"/>
  <c r="G124" i="1" s="1"/>
  <c r="D125" i="1"/>
  <c r="E125" i="1" s="1"/>
  <c r="G125" i="1" s="1"/>
  <c r="D126" i="1"/>
  <c r="E126" i="1" s="1"/>
  <c r="G126" i="1" s="1"/>
  <c r="D127" i="1"/>
  <c r="E127" i="1" s="1"/>
  <c r="G127" i="1" s="1"/>
  <c r="D128" i="1"/>
  <c r="E128" i="1" s="1"/>
  <c r="G128" i="1" s="1"/>
  <c r="D129" i="1"/>
  <c r="E129" i="1" s="1"/>
  <c r="D130" i="1"/>
  <c r="E130" i="1" s="1"/>
  <c r="G130" i="1" s="1"/>
  <c r="D131" i="1"/>
  <c r="E131" i="1" s="1"/>
  <c r="G131" i="1" s="1"/>
  <c r="D132" i="1"/>
  <c r="E132" i="1" s="1"/>
  <c r="G132" i="1" s="1"/>
  <c r="D133" i="1"/>
  <c r="E133" i="1" s="1"/>
  <c r="G133" i="1" s="1"/>
  <c r="D134" i="1"/>
  <c r="E134" i="1" s="1"/>
  <c r="G134" i="1" s="1"/>
  <c r="D135" i="1"/>
  <c r="E135" i="1" s="1"/>
  <c r="G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76" i="1"/>
  <c r="E176" i="1" s="1"/>
  <c r="G176" i="1" s="1"/>
  <c r="D162" i="1"/>
  <c r="E162" i="1" s="1"/>
  <c r="G162" i="1" s="1"/>
  <c r="D161" i="1"/>
  <c r="E161" i="1" s="1"/>
  <c r="G161" i="1" s="1"/>
  <c r="D170" i="1"/>
  <c r="E170" i="1" s="1"/>
  <c r="G170" i="1" s="1"/>
  <c r="D166" i="1"/>
  <c r="E166" i="1" s="1"/>
  <c r="G166" i="1" s="1"/>
  <c r="D167" i="1"/>
  <c r="E167" i="1" s="1"/>
  <c r="G167" i="1" s="1"/>
  <c r="D160" i="1"/>
  <c r="E160" i="1" s="1"/>
  <c r="G160" i="1" s="1"/>
  <c r="D171" i="1"/>
  <c r="E171" i="1" s="1"/>
  <c r="G171" i="1" s="1"/>
  <c r="D164" i="1"/>
  <c r="E164" i="1" s="1"/>
  <c r="G164" i="1" s="1"/>
  <c r="D163" i="1"/>
  <c r="E163" i="1" s="1"/>
  <c r="G163" i="1" s="1"/>
  <c r="D173" i="1"/>
  <c r="E173" i="1" s="1"/>
  <c r="G173" i="1" s="1"/>
  <c r="D174" i="1"/>
  <c r="E174" i="1" s="1"/>
  <c r="G174" i="1" s="1"/>
  <c r="D159" i="1"/>
  <c r="E159" i="1" s="1"/>
  <c r="G159" i="1" s="1"/>
  <c r="D177" i="1"/>
  <c r="E177" i="1" s="1"/>
  <c r="G177" i="1" s="1"/>
  <c r="D168" i="1"/>
  <c r="E168" i="1" s="1"/>
  <c r="G168" i="1" s="1"/>
  <c r="D169" i="1"/>
  <c r="E169" i="1" s="1"/>
  <c r="G169" i="1" s="1"/>
  <c r="D175" i="1"/>
  <c r="E175" i="1" s="1"/>
  <c r="G175" i="1" s="1"/>
  <c r="D172" i="1"/>
  <c r="E172" i="1" s="1"/>
  <c r="G172" i="1" s="1"/>
  <c r="D165" i="1"/>
  <c r="E165" i="1" s="1"/>
  <c r="G165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G187" i="1" s="1"/>
  <c r="D188" i="1"/>
  <c r="E188" i="1" s="1"/>
  <c r="G188" i="1" s="1"/>
  <c r="D189" i="1"/>
  <c r="E189" i="1" s="1"/>
  <c r="G189" i="1" s="1"/>
  <c r="D190" i="1"/>
  <c r="E190" i="1" s="1"/>
  <c r="G190" i="1" s="1"/>
  <c r="D191" i="1"/>
  <c r="E191" i="1" s="1"/>
  <c r="G191" i="1" s="1"/>
  <c r="D192" i="1"/>
  <c r="E192" i="1" s="1"/>
  <c r="G192" i="1" s="1"/>
  <c r="D193" i="1"/>
  <c r="E193" i="1" s="1"/>
  <c r="G193" i="1" s="1"/>
  <c r="D194" i="1"/>
  <c r="E194" i="1" s="1"/>
  <c r="G194" i="1" s="1"/>
  <c r="D195" i="1"/>
  <c r="E195" i="1" s="1"/>
  <c r="G195" i="1" s="1"/>
  <c r="D196" i="1"/>
  <c r="E196" i="1" s="1"/>
  <c r="G196" i="1" s="1"/>
  <c r="D197" i="1"/>
  <c r="E197" i="1" s="1"/>
  <c r="G197" i="1" s="1"/>
  <c r="D198" i="1"/>
  <c r="E198" i="1" s="1"/>
  <c r="G198" i="1" s="1"/>
  <c r="D199" i="1"/>
  <c r="E199" i="1" s="1"/>
  <c r="G199" i="1" s="1"/>
  <c r="D200" i="1"/>
  <c r="E200" i="1" s="1"/>
  <c r="G200" i="1" s="1"/>
  <c r="D201" i="1"/>
  <c r="E201" i="1" s="1"/>
  <c r="G201" i="1" s="1"/>
  <c r="D202" i="1"/>
  <c r="E202" i="1" s="1"/>
  <c r="G202" i="1" s="1"/>
  <c r="D203" i="1"/>
  <c r="E203" i="1" s="1"/>
  <c r="G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G216" i="1" s="1"/>
  <c r="D217" i="1"/>
  <c r="E217" i="1" s="1"/>
  <c r="G217" i="1" s="1"/>
  <c r="D218" i="1"/>
  <c r="E218" i="1" s="1"/>
  <c r="G218" i="1" s="1"/>
  <c r="D219" i="1"/>
  <c r="E219" i="1" s="1"/>
  <c r="G219" i="1" s="1"/>
  <c r="D220" i="1"/>
  <c r="E220" i="1" s="1"/>
  <c r="G220" i="1" s="1"/>
  <c r="D221" i="1"/>
  <c r="E221" i="1" s="1"/>
  <c r="G221" i="1" s="1"/>
  <c r="D222" i="1"/>
  <c r="E222" i="1" s="1"/>
  <c r="G222" i="1" s="1"/>
  <c r="D223" i="1"/>
  <c r="E223" i="1" s="1"/>
  <c r="G223" i="1" s="1"/>
  <c r="D224" i="1"/>
  <c r="E224" i="1" s="1"/>
  <c r="G224" i="1" s="1"/>
  <c r="D225" i="1"/>
  <c r="E225" i="1" s="1"/>
  <c r="G225" i="1" s="1"/>
  <c r="D226" i="1"/>
  <c r="E226" i="1" s="1"/>
  <c r="D227" i="1"/>
  <c r="E227" i="1" s="1"/>
  <c r="G227" i="1" s="1"/>
  <c r="D228" i="1"/>
  <c r="E228" i="1" s="1"/>
  <c r="G228" i="1" s="1"/>
  <c r="D229" i="1"/>
  <c r="E229" i="1" s="1"/>
  <c r="G229" i="1" s="1"/>
  <c r="D230" i="1"/>
  <c r="E230" i="1" s="1"/>
  <c r="D231" i="1"/>
  <c r="E231" i="1" s="1"/>
  <c r="G231" i="1" s="1"/>
  <c r="D232" i="1"/>
  <c r="E232" i="1" s="1"/>
  <c r="G232" i="1" s="1"/>
  <c r="D233" i="1"/>
  <c r="E233" i="1" s="1"/>
  <c r="G233" i="1" s="1"/>
  <c r="D234" i="1"/>
  <c r="E234" i="1" s="1"/>
  <c r="G234" i="1" s="1"/>
  <c r="D235" i="1"/>
  <c r="E235" i="1" s="1"/>
  <c r="G235" i="1" s="1"/>
  <c r="D236" i="1"/>
  <c r="E236" i="1" s="1"/>
  <c r="G236" i="1" s="1"/>
  <c r="D237" i="1"/>
  <c r="E237" i="1" s="1"/>
  <c r="D238" i="1"/>
  <c r="E238" i="1" s="1"/>
  <c r="G238" i="1" s="1"/>
  <c r="D239" i="1"/>
  <c r="E239" i="1" s="1"/>
  <c r="G239" i="1" s="1"/>
  <c r="D240" i="1"/>
  <c r="E240" i="1" s="1"/>
  <c r="G240" i="1" s="1"/>
  <c r="D241" i="1"/>
  <c r="E241" i="1" s="1"/>
  <c r="G241" i="1" s="1"/>
  <c r="D242" i="1"/>
  <c r="E242" i="1" s="1"/>
  <c r="G242" i="1" s="1"/>
  <c r="D243" i="1"/>
  <c r="E243" i="1" s="1"/>
  <c r="G243" i="1" s="1"/>
  <c r="D244" i="1"/>
  <c r="E244" i="1" s="1"/>
  <c r="G244" i="1" s="1"/>
  <c r="D245" i="1"/>
  <c r="E245" i="1" s="1"/>
  <c r="G245" i="1" s="1"/>
  <c r="D246" i="1"/>
  <c r="E246" i="1" s="1"/>
  <c r="G246" i="1" s="1"/>
  <c r="D247" i="1"/>
  <c r="E247" i="1" s="1"/>
  <c r="G247" i="1" s="1"/>
  <c r="D248" i="1"/>
  <c r="E248" i="1" s="1"/>
  <c r="D249" i="1"/>
  <c r="E249" i="1" s="1"/>
  <c r="G249" i="1" s="1"/>
  <c r="D250" i="1"/>
  <c r="E250" i="1" s="1"/>
  <c r="G250" i="1" s="1"/>
  <c r="D251" i="1"/>
  <c r="E251" i="1" s="1"/>
  <c r="G251" i="1" s="1"/>
  <c r="D252" i="1"/>
  <c r="E252" i="1" s="1"/>
  <c r="G252" i="1" s="1"/>
  <c r="D253" i="1"/>
  <c r="E253" i="1" s="1"/>
  <c r="D254" i="1"/>
  <c r="E254" i="1" s="1"/>
  <c r="D255" i="1"/>
  <c r="E255" i="1" s="1"/>
  <c r="D5" i="1"/>
  <c r="E5" i="1" s="1"/>
</calcChain>
</file>

<file path=xl/sharedStrings.xml><?xml version="1.0" encoding="utf-8"?>
<sst xmlns="http://schemas.openxmlformats.org/spreadsheetml/2006/main" count="494" uniqueCount="493">
  <si>
    <t>Net Name</t>
  </si>
  <si>
    <t>Total Conductor</t>
  </si>
  <si>
    <t>ADCIN0</t>
  </si>
  <si>
    <t>ADCIN1</t>
  </si>
  <si>
    <t>ADCIN2</t>
  </si>
  <si>
    <t>ADCIN3</t>
  </si>
  <si>
    <t>ADCIN4</t>
  </si>
  <si>
    <t>ADCIN5</t>
  </si>
  <si>
    <t>DDR_A0</t>
  </si>
  <si>
    <t>DDR_A1</t>
  </si>
  <si>
    <t>DDR_A2</t>
  </si>
  <si>
    <t>DDR_A3</t>
  </si>
  <si>
    <t>DDR_A4</t>
  </si>
  <si>
    <t>DDR_A5</t>
  </si>
  <si>
    <t>DDR_A6</t>
  </si>
  <si>
    <t>DDR_A8</t>
  </si>
  <si>
    <t>DDR_A9</t>
  </si>
  <si>
    <t>DDR_A10</t>
  </si>
  <si>
    <t>DDR_A11</t>
  </si>
  <si>
    <t>DDR_A12</t>
  </si>
  <si>
    <t>DDR_A13</t>
  </si>
  <si>
    <t>DDR_A14</t>
  </si>
  <si>
    <t>DDR_A15</t>
  </si>
  <si>
    <t>DDR_A16</t>
  </si>
  <si>
    <t>DDR_ACTN</t>
  </si>
  <si>
    <t>DDR_AVSS</t>
  </si>
  <si>
    <t>DDR_BA0</t>
  </si>
  <si>
    <t>DDR_BA1</t>
  </si>
  <si>
    <t>DDR_BG0</t>
  </si>
  <si>
    <t>DDR_BG1</t>
  </si>
  <si>
    <t>DDR_CKE</t>
  </si>
  <si>
    <t>DDR_CLKN</t>
  </si>
  <si>
    <t>DDR_CLKP</t>
  </si>
  <si>
    <t>DDR_CS0N</t>
  </si>
  <si>
    <t>DDR_CS1N</t>
  </si>
  <si>
    <t>DDR_DM0</t>
  </si>
  <si>
    <t>DDR_DM1</t>
  </si>
  <si>
    <t>DDR_DM2</t>
  </si>
  <si>
    <t>DDR_DM3</t>
  </si>
  <si>
    <t>DDR_DQ0</t>
  </si>
  <si>
    <t>DDR_DQ1</t>
  </si>
  <si>
    <t>DDR_DQ2</t>
  </si>
  <si>
    <t>DDR_DQ3</t>
  </si>
  <si>
    <t>DDR_DQ4</t>
  </si>
  <si>
    <t>DDR_DQ5</t>
  </si>
  <si>
    <t>DDR_DQ6</t>
  </si>
  <si>
    <t>DDR_DQ7</t>
  </si>
  <si>
    <t>DDR_DQ8</t>
  </si>
  <si>
    <t>DDR_DQ9</t>
  </si>
  <si>
    <t>DDR_DQ10</t>
  </si>
  <si>
    <t>DDR_DQ11</t>
  </si>
  <si>
    <t>DDR_DQ12</t>
  </si>
  <si>
    <t>DDR_DQ13</t>
  </si>
  <si>
    <t>DDR_DQ14</t>
  </si>
  <si>
    <t>DDR_DQ15</t>
  </si>
  <si>
    <t>DDR_DQ16</t>
  </si>
  <si>
    <t>DDR_DQ17</t>
  </si>
  <si>
    <t>DDR_DQ18</t>
  </si>
  <si>
    <t>DDR_DQ19</t>
  </si>
  <si>
    <t>DDR_DQ20</t>
  </si>
  <si>
    <t>DDR_DQ21</t>
  </si>
  <si>
    <t>DDR_DQ22</t>
  </si>
  <si>
    <t>DDR_DQ23</t>
  </si>
  <si>
    <t>DDR_DQ24</t>
  </si>
  <si>
    <t>DDR_DQ25</t>
  </si>
  <si>
    <t>DDR_DQ26</t>
  </si>
  <si>
    <t>DDR_DQ27</t>
  </si>
  <si>
    <t>DDR_DQ28</t>
  </si>
  <si>
    <t>DDR_DQ29</t>
  </si>
  <si>
    <t>DDR_DQ30</t>
  </si>
  <si>
    <t>DDR_DQ31</t>
  </si>
  <si>
    <t>DDR_DQS0N</t>
  </si>
  <si>
    <t>DDR_DQS0P</t>
  </si>
  <si>
    <t>DDR_DQS1N</t>
  </si>
  <si>
    <t>DDR_DQS1P</t>
  </si>
  <si>
    <t>DDR_DQS2N</t>
  </si>
  <si>
    <t>DDR_DQS2P</t>
  </si>
  <si>
    <t>DDR_DQS3N</t>
  </si>
  <si>
    <t>DDR_DQS3P</t>
  </si>
  <si>
    <t>DDR_ODT0</t>
  </si>
  <si>
    <t>DDR_ODT1</t>
  </si>
  <si>
    <t>DDR_RESETN</t>
  </si>
  <si>
    <t>DDR_RZQ</t>
  </si>
  <si>
    <t>GPIO0_A0/CLK_REF</t>
  </si>
  <si>
    <t>GPIO0_A1/TSADC_SHUT_M0/TSADC_SHUTORG</t>
  </si>
  <si>
    <t>GPIO0_A2/CLKI_CLKO_32K</t>
  </si>
  <si>
    <t>GPIO0_A3/SDMMC0_DET</t>
  </si>
  <si>
    <t>GPIO0_A4/SPI0_CS1N_M0</t>
  </si>
  <si>
    <t>GPIO0_A5/SPI0_CS0N_M0</t>
  </si>
  <si>
    <t>GPIO0_A6/SPI0_MOSI_M0</t>
  </si>
  <si>
    <t>GPIO0_A7/SPI0_MISO_M0</t>
  </si>
  <si>
    <t>GPIO0_B0/SPI0_CLK_M0</t>
  </si>
  <si>
    <t>GPIO0_B1/PMIC_INT/PWM7_IR_M0</t>
  </si>
  <si>
    <t>GPIO0_B2/PMIC_SLEEP/TSADC_SHUT_M1/PWM6_M0</t>
  </si>
  <si>
    <t>GPIO0_B3/FLASH_VOL_SEL</t>
  </si>
  <si>
    <t>GPIO0_B4/I2C0_SCL</t>
  </si>
  <si>
    <t>GPIO0_B5/I2C0_SDA</t>
  </si>
  <si>
    <t>GPIO0_B6/UART1_TX_M0/PWM0_M0</t>
  </si>
  <si>
    <t>GPIO0_B7/UART1_RX_M0/PWM1_M0</t>
  </si>
  <si>
    <t>GPIO0_C0/SDMMC0_PWR/UART1_RTSN_M0/PWM2_M0</t>
  </si>
  <si>
    <t>GPIO0_C1/PMU_DEBUG/UART1_CTSN_M0/PWM3_IR_M0</t>
  </si>
  <si>
    <t>GPIO0_C2/I2C2_SCL/PWM4_M0</t>
  </si>
  <si>
    <t>GPIO0_C3/I2C2_SDA/PWM5_M0</t>
  </si>
  <si>
    <t>GPIO0_C4/FLASH_D0/EMMC_D0</t>
  </si>
  <si>
    <t>GPIO0_C5/FLASH_D1/EMMC_D1</t>
  </si>
  <si>
    <t>GPIO0_C6/FLASH_D2/EMMC_D2</t>
  </si>
  <si>
    <t>GPIO0_C7/FLASH_D3/EMMC_D3</t>
  </si>
  <si>
    <t>GPIO0_D0/FLASH_D4/EMMC_D4</t>
  </si>
  <si>
    <t>GPIO0_D1/FLASH_D5/EMMC_D5/FSPI_CS1N</t>
  </si>
  <si>
    <t>GPIO0_D2/FLASH_D6/EMMC_D6</t>
  </si>
  <si>
    <t>GPIO0_D3/FLASH_D7/EMMC_D7</t>
  </si>
  <si>
    <t>GPIO0_D5/FLASH_WRN/EMMC_CMD</t>
  </si>
  <si>
    <t>GPIO0_D7/FLASH_CLE/EMMC_CLKO</t>
  </si>
  <si>
    <t>GPIO1_A4/SDMMC0_D0/TEST_CLK1_OUT/UART2_RX_M0</t>
  </si>
  <si>
    <t>GPIO1_A5/SDMMC0_D1/TEST_CLK0_OUT/UART2_TX_M0/RISC-V_JTAG_TRSTN</t>
  </si>
  <si>
    <t>GPIO1_A6/SDMMC0_D2/UART3_RX_M1/A7_JTAG_TCK_M0/RISC-V_JTAG_TCK</t>
  </si>
  <si>
    <t>GPIO1_A7/SDMMC0_D3/UART3_TX_M1/A7_JTAG_TMS_M0/RISC-V_JTAG_TMS</t>
  </si>
  <si>
    <t>GPIO1_B0/SDMMC0_CLK/UART3_RTSN_M1/RISC-V_JTAG_TDO</t>
  </si>
  <si>
    <t>GPIO1_B1/SDMMC0_CMD/UART3_CTSN_M1/RISC-V_JTAG_TDI</t>
  </si>
  <si>
    <t>GPIO1_C0/UART0_RTSN</t>
  </si>
  <si>
    <t>GPIO1_C1/UART0_CTSN</t>
  </si>
  <si>
    <t>GPIO1_C2/UART0_RX</t>
  </si>
  <si>
    <t>GPIO1_C3/UART0_TX</t>
  </si>
  <si>
    <t>GPIO1_C4/I2S2_SDO_M0/SPI1_MOSI_M1/FLASH_TRIG_OUT</t>
  </si>
  <si>
    <t>GPIO1_C5/I2S2_SDI_M0/SPI1_MISO_M1/FLASH_TRIG_IN</t>
  </si>
  <si>
    <t>GPIO1_C6/I2S2_SCLK_M0/SPI1_CLK_M1/PRELIGHT_TRIG_OUT/UART1_RTSN_M1</t>
  </si>
  <si>
    <t>GPIO1_C7/I2S2_LRCK_M0/SPI1_CS0N_M1/UART1_CTSN_M1</t>
  </si>
  <si>
    <t>GPIO1_D2/I2C1_SDA/UART4_RTSN_M2</t>
  </si>
  <si>
    <t>GPIO1_D3/I2C1_SCL/UART4_CTSN_M2</t>
  </si>
  <si>
    <t>GPIO1_D4/UART4_RX_M2</t>
  </si>
  <si>
    <t>GPIO1_D5/SPI0_CS1N_M1/I2S1_MCLK_M1/UART4_TX_M2</t>
  </si>
  <si>
    <t>GPIO1_D6/SPI0_MOSI_M1/I2S1_SCLK_M1/I2C3_SCL_M2</t>
  </si>
  <si>
    <t>GPIO1_D7/SPI0_MISO_M1/I2S1_LRCK_M1/I2C3_SDA_M2</t>
  </si>
  <si>
    <t>GPIO2_A0/SPI0_CS0N_M1/I2S1_SDI_M1/UART5_TX_M2</t>
  </si>
  <si>
    <t>GPIO2_A1/SPI0_CLK_M1/I2S1_SDO_M1/UART5_RX_M2</t>
  </si>
  <si>
    <t>GPIO2_A2/MIPI_CSI_CLK1/UART5_RTSN_M2</t>
  </si>
  <si>
    <t>GPIO2_A3/MIPI_CSI_CLK0/UART5_CTSN_M2</t>
  </si>
  <si>
    <t>GPIO3_A0/CAN_RXD_M0/UART3_TX_M2/PWM7_IR_M1/SPI1_CS1N_M2/I2C4_SCL_M0</t>
  </si>
  <si>
    <t>GPIO3_A1/CAN_TXD_M0/UART3_RX_M2/PWM11_IR_M1/I2C4_SDA_M0</t>
  </si>
  <si>
    <t>GPIO3_A2/UART2_TX_M1/A7_JTAG_TCK_M1</t>
  </si>
  <si>
    <t>GPIO3_A3/UART2_RX_M1/A7_JTAG_TMS_M1</t>
  </si>
  <si>
    <t>GPIO3_A4/CIF_D0_M0/I2S0_SCLK_TX_M1/UART4_TX_M0/I2C3_SCL_M0/PWM8_M0</t>
  </si>
  <si>
    <t>GPIO3_A5/CIF_D1_M0/RGMII_CRS_M0/I2S0_LRCK_TX_M1/UART4_RX_M0/I2C3_SDA_M0/PWM9_M0</t>
  </si>
  <si>
    <t>GPIO3_A6/CIF_D2_M0/RGMII_COL_M0/I2S0_SDO0_M1/UART5_TX_M0/CAN_RXD_M1/PWM10_M0</t>
  </si>
  <si>
    <t>GPIO3_B0/CIF_D4_M0/RGMII_RXD3_M0/I2S0_MCLK_M1/UART5_RTSN_M0/I2C5_SCL_M1</t>
  </si>
  <si>
    <t>GPIO3_B1/CIF_D5_M0/RGMII_TXD2_M0/I2S0_SCLK_RX_M1/UART5_CTSN_M0/I2C5_SDA_M1</t>
  </si>
  <si>
    <t>GPIO3_B2/CIF_D6_M0/RGMII_TXD3_M0/I2S0_LRCK_RX_M1/UART4_RTSN_M0</t>
  </si>
  <si>
    <t>GPIO3_B3/CIF_D7_M0/RGMII_TXD0_M0/I2S0_SDO1_SDI3_M1/UART4_CTSN_M0</t>
  </si>
  <si>
    <t>GPIO3_B5/CIF_D9_M0/RGMII_TXEN_M0/I2S0_SDO3_SDI1_M1/SPI1_CS0N_M0</t>
  </si>
  <si>
    <t>GPIO3_B6/CIF_D10_M0/RGMII_RXD0_M0/PDM_SDI2_M1/SPI1_MOSI_M0</t>
  </si>
  <si>
    <t>GPIO3_B7/CIF_D11_M0/RGMII_RXD1_M0/PDM_SDI3_M1/SPI1_MISO_M0</t>
  </si>
  <si>
    <t>GPIO3_C0/CIF_D12_M0/RGMII_CLK_M0/PDM_CLK0_M1/SPI1_CLK_M0</t>
  </si>
  <si>
    <t>GPIO3_C1/CIF_D13_M0/RGMII_RXDV_M0/PDM_SDI0_M1</t>
  </si>
  <si>
    <t>GPIO3_C2/CIF_D14_M0/RGMII_RXER_M0/PDM_SDI1_M1</t>
  </si>
  <si>
    <t>GPIO3_C3/CIF_D15_M0/RGMII_MDIO_M0/PDM_CLK1_M1</t>
  </si>
  <si>
    <t>GPIO3_C4/CIF_VSYNC_M0/RGMII_MDC_M0/UART3_RTSN_M0</t>
  </si>
  <si>
    <t>GPIO3_C5/CIF_CLKIN_M0/CLK_OUT_ETHERNET_M0/UART3_CTSN_M0</t>
  </si>
  <si>
    <t>GPIO3_C6/CIF_CLKOUT_M0/RGMII_TXCLK_M0/UART3_TX_M0</t>
  </si>
  <si>
    <t>GPIO3_C7/CIF_HSYNC_M0/RGMII_RXCLK_M0/UART3_RX_M0</t>
  </si>
  <si>
    <t>GPIO3_D0/I2S0_SCLK_TX_M0/ACODEC_DAC_CLK</t>
  </si>
  <si>
    <t>GPIO3_D1/I2S0_SCLK_RX_M0/PDM_CLK1_M0/ACODEC_ADC_CLK</t>
  </si>
  <si>
    <t>GPIO3_D2/I2S0_MCLK_M0</t>
  </si>
  <si>
    <t>GPIO3_D3/I2S0_LRCK_TX_M0/ACODEC_DAC_SYNC/AUDPWM_L_M1/AUDDSM_LN</t>
  </si>
  <si>
    <t>GPIO3_D4/I2S0_LRCK_RX_M0/PDM_CLK0_M0/ACODEC_ADC_SYNC</t>
  </si>
  <si>
    <t>GPIO3_D5/I2S0_SDO0_M0/ACODEC_DAC_DATAR/AUDPWM_R_M1/AUDDSM_LP</t>
  </si>
  <si>
    <t>GPIO3_D6/I2S0_SDI0_M0/PDM_SDI0_M0/ACODEC_DAC_DATAL</t>
  </si>
  <si>
    <t>GPIO3_D7/I2S0_SDO1_SDI3_M0/PDM_SDI3_M0/ACODEC_ADC_DATA</t>
  </si>
  <si>
    <t>GPIO4_A0/I2S0_SDO2_SDI2_M0/PDM_SDI2_M0/AUDPWM_L_M0/I2C4_SCL_M1/AUDDSM_RN</t>
  </si>
  <si>
    <t>GPIO4_A1/I2S0_SDO3_SDI1_M0/PDM_SDI1_M0/AUDPWM_R_M0/I2C4_SDA_M1/AUDDSM_RP</t>
  </si>
  <si>
    <t>HOST_DM</t>
  </si>
  <si>
    <t>HOST_DP</t>
  </si>
  <si>
    <t>MIPI_CSI_RX0_CLKN/LVDS0_CLKN</t>
  </si>
  <si>
    <t>MIPI_CSI_RX0_CLKP/LVDS0_CLKP</t>
  </si>
  <si>
    <t>MIPI_CSI_RX0_D0N/LVDS0_RX0N</t>
  </si>
  <si>
    <t>MIPI_CSI_RX0_D0P/LVDS0_RX0P</t>
  </si>
  <si>
    <t>MIPI_CSI_RX0_D1N/LVDS0_RX1N</t>
  </si>
  <si>
    <t>MIPI_CSI_RX0_D1P/LVDS0_RX1P</t>
  </si>
  <si>
    <t>MIPI_CSI_RX0_D2N/LVDS0_RX2N</t>
  </si>
  <si>
    <t>MIPI_CSI_RX0_D2P/LVDS0_RX2P</t>
  </si>
  <si>
    <t>MIPI_CSI_RX0_D3N/LVDS0_RX3N</t>
  </si>
  <si>
    <t>MIPI_CSI_RX0_D3P/LVDS0_RX3P</t>
  </si>
  <si>
    <t>MIPI_CSI_RX1_CLKN/LVDS1_CLKN</t>
  </si>
  <si>
    <t>MIPI_CSI_RX1_CLKP/LVDS1_CLKP</t>
  </si>
  <si>
    <t>MIPI_CSI_RX1_D0N/LVDS1_RX0N</t>
  </si>
  <si>
    <t>MIPI_CSI_RX1_D0P/LVDS1_RX0P</t>
  </si>
  <si>
    <t>MIPI_CSI_RX1_D1N/LVDS1_RX1N</t>
  </si>
  <si>
    <t>MIPI_CSI_RX1_D1P/LVDS1_RX1P</t>
  </si>
  <si>
    <t>MIPI_CSI_RX1_D2N/LVDS1_RX2N</t>
  </si>
  <si>
    <t>MIPI_CSI_RX1_D2P/LVDS1_RX2P</t>
  </si>
  <si>
    <t>MIPI_DSI_TX0_CLKN</t>
  </si>
  <si>
    <t>MIPI_DSI_TX0_CLKP</t>
  </si>
  <si>
    <t>MIPI_DSI_TX0_D0N</t>
  </si>
  <si>
    <t>MIPI_DSI_TX0_D0P</t>
  </si>
  <si>
    <t>MIPI_DSI_TX0_D1N</t>
  </si>
  <si>
    <t>MIPI_DSI_TX0_D1P</t>
  </si>
  <si>
    <t>MIPI_DSI_TX0_D2N</t>
  </si>
  <si>
    <t>MIPI_DSI_TX0_D2P</t>
  </si>
  <si>
    <t>MIPI_DSI_TX0_D3N</t>
  </si>
  <si>
    <t>MIPI_DSI_TX0_D3P</t>
  </si>
  <si>
    <t>NPOR</t>
  </si>
  <si>
    <t>OTG_DM</t>
  </si>
  <si>
    <t>OTG_DP</t>
  </si>
  <si>
    <t>XIN24M</t>
  </si>
  <si>
    <t>XOUT24M</t>
  </si>
  <si>
    <t>E17</t>
  </si>
  <si>
    <t>D17</t>
  </si>
  <si>
    <t>B18</t>
  </si>
  <si>
    <t>A18</t>
  </si>
  <si>
    <t>C17</t>
  </si>
  <si>
    <t>B17</t>
  </si>
  <si>
    <t>C9</t>
  </si>
  <si>
    <t>B7</t>
  </si>
  <si>
    <t>A10</t>
  </si>
  <si>
    <t>C11</t>
  </si>
  <si>
    <t>D7</t>
  </si>
  <si>
    <t>A12</t>
  </si>
  <si>
    <t>A11</t>
  </si>
  <si>
    <t>B5</t>
  </si>
  <si>
    <t>B10</t>
  </si>
  <si>
    <t>B11</t>
  </si>
  <si>
    <t>B6</t>
  </si>
  <si>
    <t>A9</t>
  </si>
  <si>
    <t>A7</t>
  </si>
  <si>
    <t>C8</t>
  </si>
  <si>
    <t>B8</t>
  </si>
  <si>
    <t>A8</t>
  </si>
  <si>
    <t>B9</t>
  </si>
  <si>
    <t>A4</t>
  </si>
  <si>
    <t>F6</t>
  </si>
  <si>
    <t>E7</t>
  </si>
  <si>
    <t>A6</t>
  </si>
  <si>
    <t>D6</t>
  </si>
  <si>
    <t>D11</t>
  </si>
  <si>
    <t>C6</t>
  </si>
  <si>
    <t>D5</t>
  </si>
  <si>
    <t>D4</t>
  </si>
  <si>
    <t>B4</t>
  </si>
  <si>
    <t>D8</t>
  </si>
  <si>
    <t>N3</t>
  </si>
  <si>
    <t>E2</t>
  </si>
  <si>
    <t>M2</t>
  </si>
  <si>
    <t>B3</t>
  </si>
  <si>
    <t>K4</t>
  </si>
  <si>
    <t>J4</t>
  </si>
  <si>
    <t>H2</t>
  </si>
  <si>
    <t>H1</t>
  </si>
  <si>
    <t>G1</t>
  </si>
  <si>
    <t>E1</t>
  </si>
  <si>
    <t>C1</t>
  </si>
  <si>
    <t>C2</t>
  </si>
  <si>
    <t>K1</t>
  </si>
  <si>
    <t>K2</t>
  </si>
  <si>
    <t>J1</t>
  </si>
  <si>
    <t>J2</t>
  </si>
  <si>
    <t>P4</t>
  </si>
  <si>
    <t>P2</t>
  </si>
  <si>
    <t>L1</t>
  </si>
  <si>
    <t>M1</t>
  </si>
  <si>
    <t>P1</t>
  </si>
  <si>
    <t>A2</t>
  </si>
  <si>
    <t>A3</t>
  </si>
  <si>
    <t>G4</t>
  </si>
  <si>
    <t>F4</t>
  </si>
  <si>
    <t>H3</t>
  </si>
  <si>
    <t>G3</t>
  </si>
  <si>
    <t>N4</t>
  </si>
  <si>
    <t>B1</t>
  </si>
  <si>
    <t>B2</t>
  </si>
  <si>
    <t>J3</t>
  </si>
  <si>
    <t>K3</t>
  </si>
  <si>
    <t>M4</t>
  </si>
  <si>
    <t>P3</t>
  </si>
  <si>
    <t>D2</t>
  </si>
  <si>
    <t>D1</t>
  </si>
  <si>
    <t>L3</t>
  </si>
  <si>
    <t>L4</t>
  </si>
  <si>
    <t>F1</t>
  </si>
  <si>
    <t>F2</t>
  </si>
  <si>
    <t>N1</t>
  </si>
  <si>
    <t>N2</t>
  </si>
  <si>
    <t>E3</t>
  </si>
  <si>
    <t>D3</t>
  </si>
  <si>
    <t>A5</t>
  </si>
  <si>
    <t>D10</t>
  </si>
  <si>
    <t>C4</t>
  </si>
  <si>
    <t>E5</t>
  </si>
  <si>
    <t>W6</t>
  </si>
  <si>
    <t>Y5</t>
  </si>
  <si>
    <t>AA3</t>
  </si>
  <si>
    <t>U7</t>
  </si>
  <si>
    <t>V7</t>
  </si>
  <si>
    <t>AA2</t>
  </si>
  <si>
    <t>V6</t>
  </si>
  <si>
    <t>W5</t>
  </si>
  <si>
    <t>Y4</t>
  </si>
  <si>
    <t>W10</t>
  </si>
  <si>
    <t>Y10</t>
  </si>
  <si>
    <t>Y8</t>
  </si>
  <si>
    <t>AA7</t>
  </si>
  <si>
    <t>Y7</t>
  </si>
  <si>
    <t>W8</t>
  </si>
  <si>
    <t>V9</t>
  </si>
  <si>
    <t>U9</t>
  </si>
  <si>
    <t>AA4</t>
  </si>
  <si>
    <t>AA6</t>
  </si>
  <si>
    <t>Y6</t>
  </si>
  <si>
    <t>W2</t>
  </si>
  <si>
    <t>W1</t>
  </si>
  <si>
    <t>V4</t>
  </si>
  <si>
    <t>V3</t>
  </si>
  <si>
    <t>V2</t>
  </si>
  <si>
    <t>V1</t>
  </si>
  <si>
    <t>U4</t>
  </si>
  <si>
    <t>U3</t>
  </si>
  <si>
    <t>T4</t>
  </si>
  <si>
    <t>T1</t>
  </si>
  <si>
    <t>Y14</t>
  </si>
  <si>
    <t>W13</t>
  </si>
  <si>
    <t>V13</t>
  </si>
  <si>
    <t>U13</t>
  </si>
  <si>
    <t>AA13</t>
  </si>
  <si>
    <t>Y13</t>
  </si>
  <si>
    <t>D16</t>
  </si>
  <si>
    <t>A16</t>
  </si>
  <si>
    <t>B16</t>
  </si>
  <si>
    <t>C16</t>
  </si>
  <si>
    <t>D15</t>
  </si>
  <si>
    <t>C15</t>
  </si>
  <si>
    <t>B15</t>
  </si>
  <si>
    <t>A15</t>
  </si>
  <si>
    <t>D14</t>
  </si>
  <si>
    <t>C14</t>
  </si>
  <si>
    <t>B14</t>
  </si>
  <si>
    <t>E13</t>
  </si>
  <si>
    <t>D13</t>
  </si>
  <si>
    <t>C13</t>
  </si>
  <si>
    <t>B13</t>
  </si>
  <si>
    <t>A13</t>
  </si>
  <si>
    <t>W19</t>
  </si>
  <si>
    <t>Y21</t>
  </si>
  <si>
    <t>W20</t>
  </si>
  <si>
    <t>V20</t>
  </si>
  <si>
    <t>V19</t>
  </si>
  <si>
    <t>U18</t>
  </si>
  <si>
    <t>U19</t>
  </si>
  <si>
    <t>U20</t>
  </si>
  <si>
    <t>W21</t>
  </si>
  <si>
    <t>V21</t>
  </si>
  <si>
    <t>J18</t>
  </si>
  <si>
    <t>L17</t>
  </si>
  <si>
    <t>M21</t>
  </si>
  <si>
    <t>K19</t>
  </si>
  <si>
    <t>K20</t>
  </si>
  <si>
    <t>K21</t>
  </si>
  <si>
    <t>J19</t>
  </si>
  <si>
    <t>J21</t>
  </si>
  <si>
    <t>J20</t>
  </si>
  <si>
    <t>H20</t>
  </si>
  <si>
    <t>H19</t>
  </si>
  <si>
    <t>G21</t>
  </si>
  <si>
    <t>H18</t>
  </si>
  <si>
    <t>F21</t>
  </si>
  <si>
    <t>F20</t>
  </si>
  <si>
    <t>F19</t>
  </si>
  <si>
    <t>E20</t>
  </si>
  <si>
    <t>E19</t>
  </si>
  <si>
    <t>G18</t>
  </si>
  <si>
    <t>H16</t>
  </si>
  <si>
    <t>R17</t>
  </si>
  <si>
    <t>T18</t>
  </si>
  <si>
    <t>P17</t>
  </si>
  <si>
    <t>R18</t>
  </si>
  <si>
    <t>T19</t>
  </si>
  <si>
    <t>T20</t>
  </si>
  <si>
    <t>N17</t>
  </si>
  <si>
    <t>R19</t>
  </si>
  <si>
    <t>T21</t>
  </si>
  <si>
    <t>N18</t>
  </si>
  <si>
    <t>R20</t>
  </si>
  <si>
    <t>R21</t>
  </si>
  <si>
    <t>N19</t>
  </si>
  <si>
    <t>M17</t>
  </si>
  <si>
    <t>M18</t>
  </si>
  <si>
    <t>N20</t>
  </si>
  <si>
    <t>N21</t>
  </si>
  <si>
    <t>M19</t>
  </si>
  <si>
    <t>P19</t>
  </si>
  <si>
    <t>P20</t>
  </si>
  <si>
    <t>W12</t>
  </si>
  <si>
    <t>V12</t>
  </si>
  <si>
    <t>U12</t>
  </si>
  <si>
    <t>W11</t>
  </si>
  <si>
    <t>Y12</t>
  </si>
  <si>
    <t>Y11</t>
  </si>
  <si>
    <t>AA12</t>
  </si>
  <si>
    <t>T11</t>
  </si>
  <si>
    <t>U11</t>
  </si>
  <si>
    <t>V11</t>
  </si>
  <si>
    <t>Y2</t>
  </si>
  <si>
    <t>Y1</t>
  </si>
  <si>
    <t>V15</t>
  </si>
  <si>
    <t>U15</t>
  </si>
  <si>
    <t>U16</t>
  </si>
  <si>
    <t>V16</t>
  </si>
  <si>
    <t>W16</t>
  </si>
  <si>
    <t>Y16</t>
  </si>
  <si>
    <t>Y15</t>
  </si>
  <si>
    <t>W15</t>
  </si>
  <si>
    <t>AA16</t>
  </si>
  <si>
    <t>AA15</t>
  </si>
  <si>
    <t>W18</t>
  </si>
  <si>
    <t>V18</t>
  </si>
  <si>
    <t>Y20</t>
  </si>
  <si>
    <t>AA20</t>
  </si>
  <si>
    <t>Y19</t>
  </si>
  <si>
    <t>AA19</t>
  </si>
  <si>
    <t>Y18</t>
  </si>
  <si>
    <t>AA18</t>
  </si>
  <si>
    <t>W17</t>
  </si>
  <si>
    <t>Y17</t>
  </si>
  <si>
    <t>C18</t>
  </si>
  <si>
    <t>C19</t>
  </si>
  <si>
    <t>B19</t>
  </si>
  <si>
    <t>A19</t>
  </si>
  <si>
    <t>B20</t>
  </si>
  <si>
    <t>A20</t>
  </si>
  <si>
    <t>C20</t>
  </si>
  <si>
    <t>B21</t>
  </si>
  <si>
    <t>D19</t>
  </si>
  <si>
    <t>D20</t>
  </si>
  <si>
    <t>W7</t>
  </si>
  <si>
    <t>W4</t>
  </si>
  <si>
    <t>W3</t>
  </si>
  <si>
    <t>AA9</t>
  </si>
  <si>
    <t>Y9</t>
  </si>
  <si>
    <t>Net Pins</t>
  </si>
  <si>
    <t>ADC</t>
    <phoneticPr fontId="1" type="noConversion"/>
  </si>
  <si>
    <t>DDR</t>
    <phoneticPr fontId="1" type="noConversion"/>
  </si>
  <si>
    <t>FLASH/EMMC</t>
    <phoneticPr fontId="1" type="noConversion"/>
  </si>
  <si>
    <t>SDMMC0</t>
    <phoneticPr fontId="1" type="noConversion"/>
  </si>
  <si>
    <t>GPIO1_B2/SDIO_CLK</t>
    <phoneticPr fontId="1" type="noConversion"/>
  </si>
  <si>
    <t>GPIO1_B3/SDIO_CMD</t>
    <phoneticPr fontId="1" type="noConversion"/>
  </si>
  <si>
    <t>GPIO1_B4/SDIO_D0</t>
    <phoneticPr fontId="1" type="noConversion"/>
  </si>
  <si>
    <t>GPIO1_B5/SDIO_D1</t>
    <phoneticPr fontId="1" type="noConversion"/>
  </si>
  <si>
    <t>GPIO1_B7/SDIO_D3</t>
    <phoneticPr fontId="1" type="noConversion"/>
  </si>
  <si>
    <t>SDIO</t>
    <phoneticPr fontId="1" type="noConversion"/>
  </si>
  <si>
    <t>CIF_M0/RGMII_M0</t>
    <phoneticPr fontId="1" type="noConversion"/>
  </si>
  <si>
    <t>LCDC/RGMII_M1/CIF_M1</t>
    <phoneticPr fontId="1" type="noConversion"/>
  </si>
  <si>
    <t>I2S0/PDM/ACODEC/AUDDSM</t>
    <phoneticPr fontId="1" type="noConversion"/>
  </si>
  <si>
    <t>MIPI_CSI_RX0</t>
    <phoneticPr fontId="1" type="noConversion"/>
  </si>
  <si>
    <t>MIPI_CSI_RX1</t>
    <phoneticPr fontId="1" type="noConversion"/>
  </si>
  <si>
    <t>MIPI_DSI</t>
    <phoneticPr fontId="1" type="noConversion"/>
  </si>
  <si>
    <t>USB2.0</t>
    <phoneticPr fontId="1" type="noConversion"/>
  </si>
  <si>
    <t>PMUIO1 domain signal</t>
    <phoneticPr fontId="1" type="noConversion"/>
  </si>
  <si>
    <t>SPI0_M0/PMUIO0 domain signal</t>
    <phoneticPr fontId="1" type="noConversion"/>
  </si>
  <si>
    <t>UART0/I2S2_M0</t>
    <phoneticPr fontId="1" type="noConversion"/>
  </si>
  <si>
    <t>VCCIO4 domain Signal</t>
    <phoneticPr fontId="1" type="noConversion"/>
  </si>
  <si>
    <t>CAN BUS</t>
    <phoneticPr fontId="1" type="noConversion"/>
  </si>
  <si>
    <t>OSC</t>
    <phoneticPr fontId="1" type="noConversion"/>
  </si>
  <si>
    <t>RV1126_RV1109_SOC_Package_Pin_Delay_V1.0_20200403</t>
    <phoneticPr fontId="1" type="noConversion"/>
  </si>
  <si>
    <t>DDR_A7</t>
    <phoneticPr fontId="1" type="noConversion"/>
  </si>
  <si>
    <t>GPIO1_D1/SDIO_PWR/I2C5_SDA_M2/UART1_RX_M1</t>
    <phoneticPr fontId="1" type="noConversion"/>
  </si>
  <si>
    <t>GPIO1_D0/I2S2_MCLK_M0/SDIO_DET/SPI1_CS1N_M1/I2C5_SCL_M2/UART1_TX_M1</t>
    <phoneticPr fontId="1" type="noConversion"/>
  </si>
  <si>
    <t>GPIO1_B6/SDIO_D2</t>
    <phoneticPr fontId="1" type="noConversion"/>
  </si>
  <si>
    <t>UNIT: microns</t>
    <phoneticPr fontId="1" type="noConversion"/>
  </si>
  <si>
    <t>MIPI_CSI_RX1_D3N/LVDS1_RX3N</t>
    <phoneticPr fontId="1" type="noConversion"/>
  </si>
  <si>
    <t>MIPI_CSI_RX1_D3P/LVDS1_RX3P</t>
    <phoneticPr fontId="1" type="noConversion"/>
  </si>
  <si>
    <t>GPIO3_A7/CIF_D3_M0/RGMII_RXD2_M0/I2S0_SDI0_M1/UART5_RX_M0/CAN_TXD_M1/PWM11_IR_M0</t>
    <phoneticPr fontId="1" type="noConversion"/>
  </si>
  <si>
    <t>GPIO3_B4/CIF_D8_M0/RGMII_TXD1_M0/I2S0_SDO2_SDI2_M1/SPI1_CS1N_M0</t>
    <phoneticPr fontId="1" type="noConversion"/>
  </si>
  <si>
    <t>RGMII_TXD3_M1/CIF_D0_M1/UART4_RTSN_M1</t>
    <phoneticPr fontId="1" type="noConversion"/>
  </si>
  <si>
    <t>RGMII_CRS_M1/CIF_D1_M1/UART4_CTSN_M1/I2C5_SCL_M0</t>
    <phoneticPr fontId="1" type="noConversion"/>
  </si>
  <si>
    <t>RGMII_COL_M1/CIF_D2_M1/UART4_TX_M1/PWM5_M1</t>
    <phoneticPr fontId="1" type="noConversion"/>
  </si>
  <si>
    <t>RGMII_RXDV_M1/CIF_D4_M1</t>
    <phoneticPr fontId="1" type="noConversion"/>
  </si>
  <si>
    <t>RGMII_RXD0_M1/CIF_D5_M1</t>
    <phoneticPr fontId="1" type="noConversion"/>
  </si>
  <si>
    <t>RGMII_RXD1_M1/CIF_D6_M1</t>
    <phoneticPr fontId="1" type="noConversion"/>
  </si>
  <si>
    <t>RGMII_CLK_M1/CIF_D7_M1</t>
    <phoneticPr fontId="1" type="noConversion"/>
  </si>
  <si>
    <t>RGMII_RXER_M1/CIF_D8_M1</t>
    <phoneticPr fontId="1" type="noConversion"/>
  </si>
  <si>
    <t>RGMII_TXD0_M1/CIF_D11_M1</t>
    <phoneticPr fontId="1" type="noConversion"/>
  </si>
  <si>
    <t>RGMII_TXD1_M1/CIF_D12_M1</t>
    <phoneticPr fontId="1" type="noConversion"/>
  </si>
  <si>
    <t>CLK_OUT_ETHERNET_M1/CIF_D13_M1</t>
    <phoneticPr fontId="1" type="noConversion"/>
  </si>
  <si>
    <t>RGMII_TXEN_M1/CIF_D14_M1</t>
    <phoneticPr fontId="1" type="noConversion"/>
  </si>
  <si>
    <t>RGMII_RXD2_M1/CIF_D15_M1/I2S1_MCLK_M2</t>
    <phoneticPr fontId="1" type="noConversion"/>
  </si>
  <si>
    <t>RGMII_RXD3_M1/CIF_VSYNC_M1/I2S1_SDO_M2</t>
    <phoneticPr fontId="1" type="noConversion"/>
  </si>
  <si>
    <t>RGMII_TXD2_M1/CIF_CLKOUT_M1/I2S1_SCLK_M2</t>
    <phoneticPr fontId="1" type="noConversion"/>
  </si>
  <si>
    <t>RGMII_TXCLK_M1/CIF_CLKIN_M1/I2S1_LRCK_M2</t>
    <phoneticPr fontId="1" type="noConversion"/>
  </si>
  <si>
    <t>RGMII_RXCLK_M1/CIF_HSYNC_M1/I2S1_SDI_M2</t>
    <phoneticPr fontId="1" type="noConversion"/>
  </si>
  <si>
    <t>RGMII_MDC_M1/CIF_D10_M1</t>
    <phoneticPr fontId="1" type="noConversion"/>
  </si>
  <si>
    <t>RGMII_MDIO_M1/CIF_D9_M1</t>
    <phoneticPr fontId="1" type="noConversion"/>
  </si>
  <si>
    <t>K18</t>
    <phoneticPr fontId="1" type="noConversion"/>
  </si>
  <si>
    <t>G19</t>
    <phoneticPr fontId="1" type="noConversion"/>
  </si>
  <si>
    <t>G20</t>
    <phoneticPr fontId="1" type="noConversion"/>
  </si>
  <si>
    <t>"</t>
    <phoneticPr fontId="1" type="noConversion"/>
  </si>
  <si>
    <t>核心板线长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</si>
</sst>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ajor"/>
    </font>
    <font>
      <sz val="11"/>
      <color rgb="FF00B050"/>
      <name val="宋体"/>
      <family val="2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color rgb="FF7030A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6" fillId="0" borderId="0" xfId="0" applyFont="1">
      <alignment vertical="center"/>
    </xf>
    <xf numFmtId="176" fontId="8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5"/>
  <sheetViews>
    <sheetView tabSelected="1" topLeftCell="A94" workbookViewId="0">
      <selection activeCell="J102" sqref="J102"/>
    </sheetView>
  </sheetViews>
  <sheetFormatPr defaultRowHeight="13.5" x14ac:dyDescent="0.15"/>
  <cols>
    <col min="1" max="1" width="11" customWidth="1"/>
    <col min="2" max="2" width="26.25" customWidth="1"/>
    <col min="3" max="3" width="0.625" style="1" hidden="1" customWidth="1"/>
    <col min="4" max="4" width="9" hidden="1" customWidth="1"/>
    <col min="5" max="5" width="9" style="19" customWidth="1"/>
    <col min="6" max="6" width="9" style="19" hidden="1" customWidth="1"/>
    <col min="7" max="7" width="13.5" style="23" customWidth="1"/>
    <col min="8" max="8" width="0.125" hidden="1" customWidth="1"/>
    <col min="9" max="9" width="10.75" hidden="1" customWidth="1"/>
    <col min="10" max="10" width="19.625" style="22" customWidth="1"/>
  </cols>
  <sheetData>
    <row r="1" spans="1:5" ht="30.75" customHeight="1" x14ac:dyDescent="0.15">
      <c r="A1" s="17" t="s">
        <v>459</v>
      </c>
      <c r="B1" s="17"/>
      <c r="C1" s="17"/>
    </row>
    <row r="2" spans="1:5" x14ac:dyDescent="0.15">
      <c r="A2" s="18" t="s">
        <v>464</v>
      </c>
      <c r="B2" s="18"/>
      <c r="C2" s="18"/>
    </row>
    <row r="3" spans="1:5" x14ac:dyDescent="0.15">
      <c r="A3" s="4" t="s">
        <v>435</v>
      </c>
      <c r="B3" s="4" t="s">
        <v>0</v>
      </c>
      <c r="C3" s="5" t="s">
        <v>1</v>
      </c>
    </row>
    <row r="4" spans="1:5" x14ac:dyDescent="0.15">
      <c r="A4" s="15" t="s">
        <v>436</v>
      </c>
      <c r="B4" s="16"/>
      <c r="C4" s="16"/>
    </row>
    <row r="5" spans="1:5" x14ac:dyDescent="0.15">
      <c r="A5" s="2" t="s">
        <v>204</v>
      </c>
      <c r="B5" s="2" t="s">
        <v>2</v>
      </c>
      <c r="C5" s="3">
        <v>3409.0259999999998</v>
      </c>
      <c r="D5">
        <f>C5/1000</f>
        <v>3.4090259999999999</v>
      </c>
      <c r="E5" s="19">
        <f>D5*39.37</f>
        <v>134.21335361999999</v>
      </c>
    </row>
    <row r="6" spans="1:5" x14ac:dyDescent="0.15">
      <c r="A6" s="2" t="s">
        <v>205</v>
      </c>
      <c r="B6" s="2" t="s">
        <v>3</v>
      </c>
      <c r="C6" s="3">
        <v>3774.5859999999998</v>
      </c>
      <c r="D6">
        <f t="shared" ref="D6:D69" si="0">C6/1000</f>
        <v>3.7745859999999998</v>
      </c>
      <c r="E6" s="19">
        <f t="shared" ref="E6:E69" si="1">D6*39.37</f>
        <v>148.60545081999999</v>
      </c>
    </row>
    <row r="7" spans="1:5" x14ac:dyDescent="0.15">
      <c r="A7" s="2" t="s">
        <v>206</v>
      </c>
      <c r="B7" s="2" t="s">
        <v>4</v>
      </c>
      <c r="C7" s="3">
        <v>5275.4160000000002</v>
      </c>
      <c r="D7">
        <f t="shared" si="0"/>
        <v>5.2754159999999999</v>
      </c>
      <c r="E7" s="19">
        <f t="shared" si="1"/>
        <v>207.69312791999999</v>
      </c>
    </row>
    <row r="8" spans="1:5" x14ac:dyDescent="0.15">
      <c r="A8" s="2" t="s">
        <v>207</v>
      </c>
      <c r="B8" s="2" t="s">
        <v>5</v>
      </c>
      <c r="C8" s="3">
        <v>5896.3710000000001</v>
      </c>
      <c r="D8">
        <f t="shared" si="0"/>
        <v>5.8963710000000003</v>
      </c>
      <c r="E8" s="19">
        <f t="shared" si="1"/>
        <v>232.14012627</v>
      </c>
    </row>
    <row r="9" spans="1:5" x14ac:dyDescent="0.15">
      <c r="A9" s="2" t="s">
        <v>208</v>
      </c>
      <c r="B9" s="2" t="s">
        <v>6</v>
      </c>
      <c r="C9" s="3">
        <v>4722.1210000000001</v>
      </c>
      <c r="D9">
        <f t="shared" si="0"/>
        <v>4.7221210000000005</v>
      </c>
      <c r="E9" s="19">
        <f t="shared" si="1"/>
        <v>185.90990377</v>
      </c>
    </row>
    <row r="10" spans="1:5" x14ac:dyDescent="0.15">
      <c r="A10" s="2" t="s">
        <v>209</v>
      </c>
      <c r="B10" s="2" t="s">
        <v>7</v>
      </c>
      <c r="C10" s="3">
        <v>5273.2340000000004</v>
      </c>
      <c r="D10">
        <f t="shared" si="0"/>
        <v>5.2732340000000004</v>
      </c>
      <c r="E10" s="19">
        <f t="shared" si="1"/>
        <v>207.60722258000001</v>
      </c>
    </row>
    <row r="11" spans="1:5" x14ac:dyDescent="0.15">
      <c r="A11" s="15" t="s">
        <v>437</v>
      </c>
      <c r="B11" s="16"/>
      <c r="C11" s="16"/>
      <c r="D11">
        <f t="shared" si="0"/>
        <v>0</v>
      </c>
      <c r="E11" s="19">
        <f t="shared" si="1"/>
        <v>0</v>
      </c>
    </row>
    <row r="12" spans="1:5" x14ac:dyDescent="0.15">
      <c r="A12" s="2" t="s">
        <v>210</v>
      </c>
      <c r="B12" s="2" t="s">
        <v>8</v>
      </c>
      <c r="C12" s="3">
        <v>3502.953</v>
      </c>
      <c r="D12">
        <f t="shared" si="0"/>
        <v>3.5029529999999998</v>
      </c>
      <c r="E12" s="19">
        <f t="shared" si="1"/>
        <v>137.91125960999997</v>
      </c>
    </row>
    <row r="13" spans="1:5" x14ac:dyDescent="0.15">
      <c r="A13" s="2" t="s">
        <v>211</v>
      </c>
      <c r="B13" s="2" t="s">
        <v>9</v>
      </c>
      <c r="C13" s="3">
        <v>3867.1289999999999</v>
      </c>
      <c r="D13">
        <f t="shared" si="0"/>
        <v>3.8671289999999998</v>
      </c>
      <c r="E13" s="19">
        <f t="shared" si="1"/>
        <v>152.24886872999997</v>
      </c>
    </row>
    <row r="14" spans="1:5" x14ac:dyDescent="0.15">
      <c r="A14" s="2" t="s">
        <v>219</v>
      </c>
      <c r="B14" s="2" t="s">
        <v>10</v>
      </c>
      <c r="C14" s="3">
        <v>3455.1120000000001</v>
      </c>
      <c r="D14">
        <f t="shared" si="0"/>
        <v>3.4551120000000002</v>
      </c>
      <c r="E14" s="19">
        <f t="shared" si="1"/>
        <v>136.02775944000001</v>
      </c>
    </row>
    <row r="15" spans="1:5" x14ac:dyDescent="0.15">
      <c r="A15" s="2" t="s">
        <v>220</v>
      </c>
      <c r="B15" s="2" t="s">
        <v>11</v>
      </c>
      <c r="C15" s="3">
        <v>4047.0590000000002</v>
      </c>
      <c r="D15">
        <f t="shared" si="0"/>
        <v>4.047059</v>
      </c>
      <c r="E15" s="19">
        <f t="shared" si="1"/>
        <v>159.33271282999999</v>
      </c>
    </row>
    <row r="16" spans="1:5" x14ac:dyDescent="0.15">
      <c r="A16" s="2" t="s">
        <v>221</v>
      </c>
      <c r="B16" s="2" t="s">
        <v>12</v>
      </c>
      <c r="C16" s="3">
        <v>4211.9059999999999</v>
      </c>
      <c r="D16">
        <f t="shared" si="0"/>
        <v>4.2119059999999999</v>
      </c>
      <c r="E16" s="19">
        <f t="shared" si="1"/>
        <v>165.82273921999999</v>
      </c>
    </row>
    <row r="17" spans="1:5" x14ac:dyDescent="0.15">
      <c r="A17" s="2" t="s">
        <v>222</v>
      </c>
      <c r="B17" s="2" t="s">
        <v>13</v>
      </c>
      <c r="C17" s="3">
        <v>4301.8599999999997</v>
      </c>
      <c r="D17">
        <f t="shared" si="0"/>
        <v>4.3018599999999996</v>
      </c>
      <c r="E17" s="19">
        <f t="shared" si="1"/>
        <v>169.36422819999999</v>
      </c>
    </row>
    <row r="18" spans="1:5" x14ac:dyDescent="0.15">
      <c r="A18" s="2" t="s">
        <v>223</v>
      </c>
      <c r="B18" s="2" t="s">
        <v>14</v>
      </c>
      <c r="C18" s="3">
        <v>3797.8420000000001</v>
      </c>
      <c r="D18">
        <f t="shared" si="0"/>
        <v>3.7978420000000002</v>
      </c>
      <c r="E18" s="19">
        <f t="shared" si="1"/>
        <v>149.52103954</v>
      </c>
    </row>
    <row r="19" spans="1:5" x14ac:dyDescent="0.15">
      <c r="A19" s="2" t="s">
        <v>224</v>
      </c>
      <c r="B19" s="2" t="s">
        <v>460</v>
      </c>
      <c r="C19" s="3">
        <v>3737.3209999999999</v>
      </c>
      <c r="D19">
        <f t="shared" si="0"/>
        <v>3.7373210000000001</v>
      </c>
      <c r="E19" s="19">
        <f t="shared" si="1"/>
        <v>147.13832776999999</v>
      </c>
    </row>
    <row r="20" spans="1:5" x14ac:dyDescent="0.15">
      <c r="A20" s="2" t="s">
        <v>225</v>
      </c>
      <c r="B20" s="2" t="s">
        <v>15</v>
      </c>
      <c r="C20" s="3">
        <v>4240.1909999999998</v>
      </c>
      <c r="D20">
        <f t="shared" si="0"/>
        <v>4.2401909999999994</v>
      </c>
      <c r="E20" s="19">
        <f t="shared" si="1"/>
        <v>166.93631966999996</v>
      </c>
    </row>
    <row r="21" spans="1:5" x14ac:dyDescent="0.15">
      <c r="A21" s="2" t="s">
        <v>226</v>
      </c>
      <c r="B21" s="2" t="s">
        <v>16</v>
      </c>
      <c r="C21" s="3">
        <v>3926.1819999999998</v>
      </c>
      <c r="D21">
        <f t="shared" si="0"/>
        <v>3.9261819999999998</v>
      </c>
      <c r="E21" s="19">
        <f t="shared" si="1"/>
        <v>154.57378533999997</v>
      </c>
    </row>
    <row r="22" spans="1:5" x14ac:dyDescent="0.15">
      <c r="A22" s="2" t="s">
        <v>212</v>
      </c>
      <c r="B22" s="2" t="s">
        <v>17</v>
      </c>
      <c r="C22" s="3">
        <v>4181.5540000000001</v>
      </c>
      <c r="D22">
        <f t="shared" si="0"/>
        <v>4.1815540000000002</v>
      </c>
      <c r="E22" s="19">
        <f t="shared" si="1"/>
        <v>164.62778098000001</v>
      </c>
    </row>
    <row r="23" spans="1:5" x14ac:dyDescent="0.15">
      <c r="A23" s="2" t="s">
        <v>213</v>
      </c>
      <c r="B23" s="2" t="s">
        <v>18</v>
      </c>
      <c r="C23" s="3">
        <v>3401.953</v>
      </c>
      <c r="D23">
        <f t="shared" si="0"/>
        <v>3.4019529999999998</v>
      </c>
      <c r="E23" s="19">
        <f t="shared" si="1"/>
        <v>133.93488960999997</v>
      </c>
    </row>
    <row r="24" spans="1:5" x14ac:dyDescent="0.15">
      <c r="A24" s="2" t="s">
        <v>214</v>
      </c>
      <c r="B24" s="2" t="s">
        <v>19</v>
      </c>
      <c r="C24" s="3">
        <v>3309.4650000000001</v>
      </c>
      <c r="D24">
        <f t="shared" si="0"/>
        <v>3.3094650000000003</v>
      </c>
      <c r="E24" s="19">
        <f t="shared" si="1"/>
        <v>130.29363705</v>
      </c>
    </row>
    <row r="25" spans="1:5" x14ac:dyDescent="0.15">
      <c r="A25" s="2" t="s">
        <v>215</v>
      </c>
      <c r="B25" s="2" t="s">
        <v>20</v>
      </c>
      <c r="C25" s="3">
        <v>4632.28</v>
      </c>
      <c r="D25">
        <f t="shared" si="0"/>
        <v>4.6322799999999997</v>
      </c>
      <c r="E25" s="19">
        <f t="shared" si="1"/>
        <v>182.37286359999999</v>
      </c>
    </row>
    <row r="26" spans="1:5" x14ac:dyDescent="0.15">
      <c r="A26" s="2" t="s">
        <v>216</v>
      </c>
      <c r="B26" s="2" t="s">
        <v>21</v>
      </c>
      <c r="C26" s="3">
        <v>4423.5200000000004</v>
      </c>
      <c r="D26">
        <f t="shared" si="0"/>
        <v>4.4235200000000008</v>
      </c>
      <c r="E26" s="19">
        <f t="shared" si="1"/>
        <v>174.15398240000002</v>
      </c>
    </row>
    <row r="27" spans="1:5" x14ac:dyDescent="0.15">
      <c r="A27" s="2" t="s">
        <v>217</v>
      </c>
      <c r="B27" s="2" t="s">
        <v>22</v>
      </c>
      <c r="C27" s="3">
        <v>4474.8119999999999</v>
      </c>
      <c r="D27">
        <f t="shared" si="0"/>
        <v>4.474812</v>
      </c>
      <c r="E27" s="19">
        <f t="shared" si="1"/>
        <v>176.17334843999998</v>
      </c>
    </row>
    <row r="28" spans="1:5" x14ac:dyDescent="0.15">
      <c r="A28" s="2" t="s">
        <v>218</v>
      </c>
      <c r="B28" s="2" t="s">
        <v>23</v>
      </c>
      <c r="C28" s="3">
        <v>3932.1309999999999</v>
      </c>
      <c r="D28">
        <f t="shared" si="0"/>
        <v>3.932131</v>
      </c>
      <c r="E28" s="19">
        <f t="shared" si="1"/>
        <v>154.80799747</v>
      </c>
    </row>
    <row r="29" spans="1:5" x14ac:dyDescent="0.15">
      <c r="A29" s="2" t="s">
        <v>227</v>
      </c>
      <c r="B29" s="2" t="s">
        <v>24</v>
      </c>
      <c r="C29" s="3">
        <v>5245.3670000000002</v>
      </c>
      <c r="D29">
        <f t="shared" si="0"/>
        <v>5.2453669999999999</v>
      </c>
      <c r="E29" s="19">
        <f t="shared" si="1"/>
        <v>206.51009878999997</v>
      </c>
    </row>
    <row r="30" spans="1:5" x14ac:dyDescent="0.15">
      <c r="A30" s="2" t="s">
        <v>228</v>
      </c>
      <c r="B30" s="2" t="s">
        <v>25</v>
      </c>
      <c r="C30" s="3">
        <v>1325.8119999999999</v>
      </c>
      <c r="D30">
        <f t="shared" si="0"/>
        <v>1.325812</v>
      </c>
      <c r="E30" s="19">
        <f t="shared" si="1"/>
        <v>52.197218439999993</v>
      </c>
    </row>
    <row r="31" spans="1:5" x14ac:dyDescent="0.15">
      <c r="A31" s="2" t="s">
        <v>229</v>
      </c>
      <c r="B31" s="2" t="s">
        <v>26</v>
      </c>
      <c r="C31" s="3">
        <v>2421.0459999999998</v>
      </c>
      <c r="D31">
        <f t="shared" si="0"/>
        <v>2.421046</v>
      </c>
      <c r="E31" s="19">
        <f t="shared" si="1"/>
        <v>95.316581020000001</v>
      </c>
    </row>
    <row r="32" spans="1:5" x14ac:dyDescent="0.15">
      <c r="A32" s="2" t="s">
        <v>230</v>
      </c>
      <c r="B32" s="2" t="s">
        <v>27</v>
      </c>
      <c r="C32" s="3">
        <v>4571.1260000000002</v>
      </c>
      <c r="D32">
        <f t="shared" si="0"/>
        <v>4.5711260000000005</v>
      </c>
      <c r="E32" s="19">
        <f t="shared" si="1"/>
        <v>179.96523062</v>
      </c>
    </row>
    <row r="33" spans="1:5" x14ac:dyDescent="0.15">
      <c r="A33" s="2" t="s">
        <v>231</v>
      </c>
      <c r="B33" s="2" t="s">
        <v>28</v>
      </c>
      <c r="C33" s="3">
        <v>2570.712</v>
      </c>
      <c r="D33">
        <f t="shared" si="0"/>
        <v>2.5707119999999999</v>
      </c>
      <c r="E33" s="19">
        <f t="shared" si="1"/>
        <v>101.20893143999999</v>
      </c>
    </row>
    <row r="34" spans="1:5" x14ac:dyDescent="0.15">
      <c r="A34" s="2" t="s">
        <v>232</v>
      </c>
      <c r="B34" s="2" t="s">
        <v>29</v>
      </c>
      <c r="C34" s="3">
        <v>2340.1610000000001</v>
      </c>
      <c r="D34">
        <f t="shared" si="0"/>
        <v>2.3401610000000002</v>
      </c>
      <c r="E34" s="19">
        <f t="shared" si="1"/>
        <v>92.132138569999995</v>
      </c>
    </row>
    <row r="35" spans="1:5" x14ac:dyDescent="0.15">
      <c r="A35" s="2" t="s">
        <v>233</v>
      </c>
      <c r="B35" s="2" t="s">
        <v>30</v>
      </c>
      <c r="C35" s="3">
        <v>3235.3339999999998</v>
      </c>
      <c r="D35">
        <f t="shared" si="0"/>
        <v>3.2353339999999999</v>
      </c>
      <c r="E35" s="19">
        <f t="shared" si="1"/>
        <v>127.37509957999998</v>
      </c>
    </row>
    <row r="36" spans="1:5" x14ac:dyDescent="0.15">
      <c r="A36" s="2" t="s">
        <v>234</v>
      </c>
      <c r="B36" s="2" t="s">
        <v>31</v>
      </c>
      <c r="C36" s="3">
        <v>3841.8440000000001</v>
      </c>
      <c r="D36">
        <f t="shared" si="0"/>
        <v>3.841844</v>
      </c>
      <c r="E36" s="19">
        <f t="shared" si="1"/>
        <v>151.25339828</v>
      </c>
    </row>
    <row r="37" spans="1:5" x14ac:dyDescent="0.15">
      <c r="A37" s="2" t="s">
        <v>235</v>
      </c>
      <c r="B37" s="2" t="s">
        <v>32</v>
      </c>
      <c r="C37" s="3">
        <v>4014.085</v>
      </c>
      <c r="D37">
        <f t="shared" si="0"/>
        <v>4.0140849999999997</v>
      </c>
      <c r="E37" s="19">
        <f t="shared" si="1"/>
        <v>158.03452644999999</v>
      </c>
    </row>
    <row r="38" spans="1:5" x14ac:dyDescent="0.15">
      <c r="A38" s="2" t="s">
        <v>236</v>
      </c>
      <c r="B38" s="2" t="s">
        <v>33</v>
      </c>
      <c r="C38" s="3">
        <v>4666.1329999999998</v>
      </c>
      <c r="D38">
        <f t="shared" si="0"/>
        <v>4.6661329999999994</v>
      </c>
      <c r="E38" s="19">
        <f t="shared" si="1"/>
        <v>183.70565620999997</v>
      </c>
    </row>
    <row r="39" spans="1:5" x14ac:dyDescent="0.15">
      <c r="A39" s="2" t="s">
        <v>237</v>
      </c>
      <c r="B39" s="2" t="s">
        <v>34</v>
      </c>
      <c r="C39" s="3">
        <v>2891.8330000000001</v>
      </c>
      <c r="D39">
        <f t="shared" si="0"/>
        <v>2.8918330000000001</v>
      </c>
      <c r="E39" s="19">
        <f t="shared" si="1"/>
        <v>113.85146521</v>
      </c>
    </row>
    <row r="40" spans="1:5" x14ac:dyDescent="0.15">
      <c r="A40" s="2" t="s">
        <v>238</v>
      </c>
      <c r="B40" s="2" t="s">
        <v>35</v>
      </c>
      <c r="C40" s="3">
        <v>4874.1080000000002</v>
      </c>
      <c r="D40">
        <f t="shared" si="0"/>
        <v>4.8741080000000006</v>
      </c>
      <c r="E40" s="19">
        <f t="shared" si="1"/>
        <v>191.89363196000002</v>
      </c>
    </row>
    <row r="41" spans="1:5" x14ac:dyDescent="0.15">
      <c r="A41" s="2" t="s">
        <v>239</v>
      </c>
      <c r="B41" s="2" t="s">
        <v>36</v>
      </c>
      <c r="C41" s="3">
        <v>4747.3280000000004</v>
      </c>
      <c r="D41">
        <f t="shared" si="0"/>
        <v>4.7473280000000004</v>
      </c>
      <c r="E41" s="19">
        <f t="shared" si="1"/>
        <v>186.90230336000002</v>
      </c>
    </row>
    <row r="42" spans="1:5" x14ac:dyDescent="0.15">
      <c r="A42" s="2" t="s">
        <v>240</v>
      </c>
      <c r="B42" s="2" t="s">
        <v>37</v>
      </c>
      <c r="C42" s="3">
        <v>4505.33</v>
      </c>
      <c r="D42">
        <f t="shared" si="0"/>
        <v>4.5053299999999998</v>
      </c>
      <c r="E42" s="19">
        <f t="shared" si="1"/>
        <v>177.3748421</v>
      </c>
    </row>
    <row r="43" spans="1:5" x14ac:dyDescent="0.15">
      <c r="A43" s="2" t="s">
        <v>241</v>
      </c>
      <c r="B43" s="2" t="s">
        <v>38</v>
      </c>
      <c r="C43" s="3">
        <v>5028.0659999999998</v>
      </c>
      <c r="D43">
        <f t="shared" si="0"/>
        <v>5.0280659999999999</v>
      </c>
      <c r="E43" s="19">
        <f t="shared" si="1"/>
        <v>197.95495842</v>
      </c>
    </row>
    <row r="44" spans="1:5" x14ac:dyDescent="0.15">
      <c r="A44" s="2" t="s">
        <v>242</v>
      </c>
      <c r="B44" s="2" t="s">
        <v>39</v>
      </c>
      <c r="C44" s="3">
        <v>2186.9270000000001</v>
      </c>
      <c r="D44">
        <f t="shared" si="0"/>
        <v>2.1869270000000003</v>
      </c>
      <c r="E44" s="19">
        <f t="shared" si="1"/>
        <v>86.099315990000008</v>
      </c>
    </row>
    <row r="45" spans="1:5" x14ac:dyDescent="0.15">
      <c r="A45" s="2" t="s">
        <v>243</v>
      </c>
      <c r="B45" s="2" t="s">
        <v>40</v>
      </c>
      <c r="C45" s="3">
        <v>2508.9290000000001</v>
      </c>
      <c r="D45">
        <f t="shared" si="0"/>
        <v>2.5089290000000002</v>
      </c>
      <c r="E45" s="19">
        <f t="shared" si="1"/>
        <v>98.776534729999995</v>
      </c>
    </row>
    <row r="46" spans="1:5" x14ac:dyDescent="0.15">
      <c r="A46" s="2" t="s">
        <v>254</v>
      </c>
      <c r="B46" s="2" t="s">
        <v>41</v>
      </c>
      <c r="C46" s="3">
        <v>3964.2289999999998</v>
      </c>
      <c r="D46">
        <f t="shared" si="0"/>
        <v>3.964229</v>
      </c>
      <c r="E46" s="19">
        <f t="shared" si="1"/>
        <v>156.07169572999999</v>
      </c>
    </row>
    <row r="47" spans="1:5" x14ac:dyDescent="0.15">
      <c r="A47" s="2" t="s">
        <v>265</v>
      </c>
      <c r="B47" s="2" t="s">
        <v>42</v>
      </c>
      <c r="C47" s="3">
        <v>3075.64</v>
      </c>
      <c r="D47">
        <f t="shared" si="0"/>
        <v>3.0756399999999999</v>
      </c>
      <c r="E47" s="19">
        <f t="shared" si="1"/>
        <v>121.08794679999998</v>
      </c>
    </row>
    <row r="48" spans="1:5" x14ac:dyDescent="0.15">
      <c r="A48" s="2" t="s">
        <v>268</v>
      </c>
      <c r="B48" s="2" t="s">
        <v>43</v>
      </c>
      <c r="C48" s="3">
        <v>5227.3069999999998</v>
      </c>
      <c r="D48">
        <f t="shared" si="0"/>
        <v>5.2273069999999997</v>
      </c>
      <c r="E48" s="19">
        <f t="shared" si="1"/>
        <v>205.79907658999997</v>
      </c>
    </row>
    <row r="49" spans="1:5" x14ac:dyDescent="0.15">
      <c r="A49" s="2" t="s">
        <v>269</v>
      </c>
      <c r="B49" s="2" t="s">
        <v>44</v>
      </c>
      <c r="C49" s="3">
        <v>5231.9889999999996</v>
      </c>
      <c r="D49">
        <f t="shared" si="0"/>
        <v>5.2319889999999996</v>
      </c>
      <c r="E49" s="19">
        <f t="shared" si="1"/>
        <v>205.98340692999997</v>
      </c>
    </row>
    <row r="50" spans="1:5" x14ac:dyDescent="0.15">
      <c r="A50" s="2" t="s">
        <v>270</v>
      </c>
      <c r="B50" s="2" t="s">
        <v>45</v>
      </c>
      <c r="C50" s="3">
        <v>3348.0079999999998</v>
      </c>
      <c r="D50">
        <f t="shared" si="0"/>
        <v>3.3480079999999997</v>
      </c>
      <c r="E50" s="19">
        <f t="shared" si="1"/>
        <v>131.81107495999998</v>
      </c>
    </row>
    <row r="51" spans="1:5" x14ac:dyDescent="0.15">
      <c r="A51" s="2" t="s">
        <v>271</v>
      </c>
      <c r="B51" s="2" t="s">
        <v>46</v>
      </c>
      <c r="C51" s="3">
        <v>4693.8320000000003</v>
      </c>
      <c r="D51">
        <f t="shared" si="0"/>
        <v>4.6938320000000004</v>
      </c>
      <c r="E51" s="19">
        <f t="shared" si="1"/>
        <v>184.79616584000001</v>
      </c>
    </row>
    <row r="52" spans="1:5" x14ac:dyDescent="0.15">
      <c r="A52" s="2" t="s">
        <v>272</v>
      </c>
      <c r="B52" s="2" t="s">
        <v>47</v>
      </c>
      <c r="C52" s="3">
        <v>5431.3980000000001</v>
      </c>
      <c r="D52">
        <f t="shared" si="0"/>
        <v>5.4313979999999997</v>
      </c>
      <c r="E52" s="19">
        <f t="shared" si="1"/>
        <v>213.83413925999997</v>
      </c>
    </row>
    <row r="53" spans="1:5" x14ac:dyDescent="0.15">
      <c r="A53" s="2" t="s">
        <v>273</v>
      </c>
      <c r="B53" s="2" t="s">
        <v>48</v>
      </c>
      <c r="C53" s="3">
        <v>5973.3410000000003</v>
      </c>
      <c r="D53">
        <f t="shared" si="0"/>
        <v>5.9733410000000005</v>
      </c>
      <c r="E53" s="19">
        <f t="shared" si="1"/>
        <v>235.17043516999999</v>
      </c>
    </row>
    <row r="54" spans="1:5" x14ac:dyDescent="0.15">
      <c r="A54" s="2" t="s">
        <v>244</v>
      </c>
      <c r="B54" s="2" t="s">
        <v>49</v>
      </c>
      <c r="C54" s="3">
        <v>3898.7779999999998</v>
      </c>
      <c r="D54">
        <f t="shared" si="0"/>
        <v>3.8987779999999996</v>
      </c>
      <c r="E54" s="19">
        <f t="shared" si="1"/>
        <v>153.49488985999997</v>
      </c>
    </row>
    <row r="55" spans="1:5" x14ac:dyDescent="0.15">
      <c r="A55" s="2" t="s">
        <v>245</v>
      </c>
      <c r="B55" s="2" t="s">
        <v>50</v>
      </c>
      <c r="C55" s="3">
        <v>4635.6149999999998</v>
      </c>
      <c r="D55">
        <f t="shared" si="0"/>
        <v>4.6356149999999996</v>
      </c>
      <c r="E55" s="19">
        <f t="shared" si="1"/>
        <v>182.50416254999996</v>
      </c>
    </row>
    <row r="56" spans="1:5" x14ac:dyDescent="0.15">
      <c r="A56" s="2" t="s">
        <v>246</v>
      </c>
      <c r="B56" s="2" t="s">
        <v>51</v>
      </c>
      <c r="C56" s="3">
        <v>5307.08</v>
      </c>
      <c r="D56">
        <f t="shared" si="0"/>
        <v>5.30708</v>
      </c>
      <c r="E56" s="19">
        <f t="shared" si="1"/>
        <v>208.9397396</v>
      </c>
    </row>
    <row r="57" spans="1:5" x14ac:dyDescent="0.15">
      <c r="A57" s="2" t="s">
        <v>247</v>
      </c>
      <c r="B57" s="2" t="s">
        <v>52</v>
      </c>
      <c r="C57" s="3">
        <v>6466.4610000000002</v>
      </c>
      <c r="D57">
        <f t="shared" si="0"/>
        <v>6.4664610000000007</v>
      </c>
      <c r="E57" s="19">
        <f t="shared" si="1"/>
        <v>254.58456957000001</v>
      </c>
    </row>
    <row r="58" spans="1:5" x14ac:dyDescent="0.15">
      <c r="A58" s="2" t="s">
        <v>248</v>
      </c>
      <c r="B58" s="2" t="s">
        <v>53</v>
      </c>
      <c r="C58" s="3">
        <v>6775.3980000000001</v>
      </c>
      <c r="D58">
        <f t="shared" si="0"/>
        <v>6.775398</v>
      </c>
      <c r="E58" s="19">
        <f t="shared" si="1"/>
        <v>266.74741925999996</v>
      </c>
    </row>
    <row r="59" spans="1:5" x14ac:dyDescent="0.15">
      <c r="A59" s="2" t="s">
        <v>249</v>
      </c>
      <c r="B59" s="2" t="s">
        <v>54</v>
      </c>
      <c r="C59" s="3">
        <v>7000.7690000000002</v>
      </c>
      <c r="D59">
        <f t="shared" si="0"/>
        <v>7.000769</v>
      </c>
      <c r="E59" s="19">
        <f t="shared" si="1"/>
        <v>275.62027552999996</v>
      </c>
    </row>
    <row r="60" spans="1:5" x14ac:dyDescent="0.15">
      <c r="A60" s="2" t="s">
        <v>250</v>
      </c>
      <c r="B60" s="2" t="s">
        <v>55</v>
      </c>
      <c r="C60" s="3">
        <v>6167.0640000000003</v>
      </c>
      <c r="D60">
        <f t="shared" si="0"/>
        <v>6.1670639999999999</v>
      </c>
      <c r="E60" s="19">
        <f t="shared" si="1"/>
        <v>242.79730967999998</v>
      </c>
    </row>
    <row r="61" spans="1:5" x14ac:dyDescent="0.15">
      <c r="A61" s="2" t="s">
        <v>251</v>
      </c>
      <c r="B61" s="2" t="s">
        <v>56</v>
      </c>
      <c r="C61" s="3">
        <v>5318.5330000000004</v>
      </c>
      <c r="D61">
        <f t="shared" si="0"/>
        <v>5.3185330000000004</v>
      </c>
      <c r="E61" s="19">
        <f t="shared" si="1"/>
        <v>209.39064421</v>
      </c>
    </row>
    <row r="62" spans="1:5" x14ac:dyDescent="0.15">
      <c r="A62" s="2" t="s">
        <v>252</v>
      </c>
      <c r="B62" s="2" t="s">
        <v>57</v>
      </c>
      <c r="C62" s="3">
        <v>8300.2759999999998</v>
      </c>
      <c r="D62">
        <f t="shared" si="0"/>
        <v>8.3002760000000002</v>
      </c>
      <c r="E62" s="19">
        <f t="shared" si="1"/>
        <v>326.78186611999996</v>
      </c>
    </row>
    <row r="63" spans="1:5" x14ac:dyDescent="0.15">
      <c r="A63" s="2" t="s">
        <v>253</v>
      </c>
      <c r="B63" s="2" t="s">
        <v>58</v>
      </c>
      <c r="C63" s="3">
        <v>8274.2340000000004</v>
      </c>
      <c r="D63">
        <f t="shared" si="0"/>
        <v>8.2742339999999999</v>
      </c>
      <c r="E63" s="19">
        <f t="shared" si="1"/>
        <v>325.75659257999996</v>
      </c>
    </row>
    <row r="64" spans="1:5" x14ac:dyDescent="0.15">
      <c r="A64" s="2" t="s">
        <v>255</v>
      </c>
      <c r="B64" s="2" t="s">
        <v>59</v>
      </c>
      <c r="C64" s="3">
        <v>4455.8140000000003</v>
      </c>
      <c r="D64">
        <f t="shared" si="0"/>
        <v>4.4558140000000002</v>
      </c>
      <c r="E64" s="19">
        <f t="shared" si="1"/>
        <v>175.42539718</v>
      </c>
    </row>
    <row r="65" spans="1:5" x14ac:dyDescent="0.15">
      <c r="A65" s="2" t="s">
        <v>256</v>
      </c>
      <c r="B65" s="2" t="s">
        <v>60</v>
      </c>
      <c r="C65" s="3">
        <v>7630.62</v>
      </c>
      <c r="D65">
        <f t="shared" si="0"/>
        <v>7.6306199999999995</v>
      </c>
      <c r="E65" s="19">
        <f t="shared" si="1"/>
        <v>300.41750939999997</v>
      </c>
    </row>
    <row r="66" spans="1:5" x14ac:dyDescent="0.15">
      <c r="A66" s="2" t="s">
        <v>257</v>
      </c>
      <c r="B66" s="2" t="s">
        <v>61</v>
      </c>
      <c r="C66" s="3">
        <v>5253.3810000000003</v>
      </c>
      <c r="D66">
        <f t="shared" si="0"/>
        <v>5.2533810000000001</v>
      </c>
      <c r="E66" s="19">
        <f t="shared" si="1"/>
        <v>206.82560996999999</v>
      </c>
    </row>
    <row r="67" spans="1:5" x14ac:dyDescent="0.15">
      <c r="A67" s="2" t="s">
        <v>258</v>
      </c>
      <c r="B67" s="2" t="s">
        <v>62</v>
      </c>
      <c r="C67" s="3">
        <v>5120.2700000000004</v>
      </c>
      <c r="D67">
        <f t="shared" si="0"/>
        <v>5.1202700000000005</v>
      </c>
      <c r="E67" s="19">
        <f t="shared" si="1"/>
        <v>201.58502989999999</v>
      </c>
    </row>
    <row r="68" spans="1:5" x14ac:dyDescent="0.15">
      <c r="A68" s="2" t="s">
        <v>259</v>
      </c>
      <c r="B68" s="2" t="s">
        <v>63</v>
      </c>
      <c r="C68" s="3">
        <v>6039.83</v>
      </c>
      <c r="D68">
        <f t="shared" si="0"/>
        <v>6.0398300000000003</v>
      </c>
      <c r="E68" s="19">
        <f t="shared" si="1"/>
        <v>237.78810709999999</v>
      </c>
    </row>
    <row r="69" spans="1:5" x14ac:dyDescent="0.15">
      <c r="A69" s="2" t="s">
        <v>260</v>
      </c>
      <c r="B69" s="2" t="s">
        <v>64</v>
      </c>
      <c r="C69" s="3">
        <v>5625.2110000000002</v>
      </c>
      <c r="D69">
        <f t="shared" si="0"/>
        <v>5.6252110000000002</v>
      </c>
      <c r="E69" s="19">
        <f t="shared" si="1"/>
        <v>221.46455706999998</v>
      </c>
    </row>
    <row r="70" spans="1:5" x14ac:dyDescent="0.15">
      <c r="A70" s="2" t="s">
        <v>261</v>
      </c>
      <c r="B70" s="2" t="s">
        <v>65</v>
      </c>
      <c r="C70" s="3">
        <v>2465.6460000000002</v>
      </c>
      <c r="D70">
        <f t="shared" ref="D70:D127" si="2">C70/1000</f>
        <v>2.465646</v>
      </c>
      <c r="E70" s="19">
        <f t="shared" ref="E70:E127" si="3">D70*39.37</f>
        <v>97.072483019999993</v>
      </c>
    </row>
    <row r="71" spans="1:5" x14ac:dyDescent="0.15">
      <c r="A71" s="2" t="s">
        <v>262</v>
      </c>
      <c r="B71" s="2" t="s">
        <v>66</v>
      </c>
      <c r="C71" s="3">
        <v>2975.5909999999999</v>
      </c>
      <c r="D71">
        <f t="shared" si="2"/>
        <v>2.9755910000000001</v>
      </c>
      <c r="E71" s="19">
        <f t="shared" si="3"/>
        <v>117.14901766999999</v>
      </c>
    </row>
    <row r="72" spans="1:5" x14ac:dyDescent="0.15">
      <c r="A72" s="2" t="s">
        <v>263</v>
      </c>
      <c r="B72" s="2" t="s">
        <v>67</v>
      </c>
      <c r="C72" s="3">
        <v>3304.2570000000001</v>
      </c>
      <c r="D72">
        <f t="shared" si="2"/>
        <v>3.3042570000000002</v>
      </c>
      <c r="E72" s="19">
        <f t="shared" si="3"/>
        <v>130.08859809</v>
      </c>
    </row>
    <row r="73" spans="1:5" x14ac:dyDescent="0.15">
      <c r="A73" s="2" t="s">
        <v>264</v>
      </c>
      <c r="B73" s="2" t="s">
        <v>68</v>
      </c>
      <c r="C73" s="3">
        <v>3679.91</v>
      </c>
      <c r="D73">
        <f t="shared" si="2"/>
        <v>3.67991</v>
      </c>
      <c r="E73" s="19">
        <f t="shared" si="3"/>
        <v>144.8780567</v>
      </c>
    </row>
    <row r="74" spans="1:5" x14ac:dyDescent="0.15">
      <c r="A74" s="2" t="s">
        <v>266</v>
      </c>
      <c r="B74" s="2" t="s">
        <v>69</v>
      </c>
      <c r="C74" s="3">
        <v>5833.8819999999996</v>
      </c>
      <c r="D74">
        <f t="shared" si="2"/>
        <v>5.833882</v>
      </c>
      <c r="E74" s="19">
        <f t="shared" si="3"/>
        <v>229.67993433999999</v>
      </c>
    </row>
    <row r="75" spans="1:5" x14ac:dyDescent="0.15">
      <c r="A75" s="2" t="s">
        <v>267</v>
      </c>
      <c r="B75" s="2" t="s">
        <v>70</v>
      </c>
      <c r="C75" s="3">
        <v>5650.6360000000004</v>
      </c>
      <c r="D75">
        <f t="shared" si="2"/>
        <v>5.6506360000000004</v>
      </c>
      <c r="E75" s="19">
        <f t="shared" si="3"/>
        <v>222.46553932</v>
      </c>
    </row>
    <row r="76" spans="1:5" x14ac:dyDescent="0.15">
      <c r="A76" s="2" t="s">
        <v>274</v>
      </c>
      <c r="B76" s="2" t="s">
        <v>71</v>
      </c>
      <c r="C76" s="3">
        <v>3079.1660000000002</v>
      </c>
      <c r="D76">
        <f t="shared" si="2"/>
        <v>3.0791660000000003</v>
      </c>
      <c r="E76" s="19">
        <f t="shared" si="3"/>
        <v>121.22676542000001</v>
      </c>
    </row>
    <row r="77" spans="1:5" x14ac:dyDescent="0.15">
      <c r="A77" s="2" t="s">
        <v>275</v>
      </c>
      <c r="B77" s="2" t="s">
        <v>72</v>
      </c>
      <c r="C77" s="3">
        <v>2806.94</v>
      </c>
      <c r="D77">
        <f t="shared" si="2"/>
        <v>2.80694</v>
      </c>
      <c r="E77" s="19">
        <f t="shared" si="3"/>
        <v>110.50922779999999</v>
      </c>
    </row>
    <row r="78" spans="1:5" x14ac:dyDescent="0.15">
      <c r="A78" s="2" t="s">
        <v>276</v>
      </c>
      <c r="B78" s="2" t="s">
        <v>73</v>
      </c>
      <c r="C78" s="3">
        <v>5479.94</v>
      </c>
      <c r="D78">
        <f t="shared" si="2"/>
        <v>5.47994</v>
      </c>
      <c r="E78" s="19">
        <f t="shared" si="3"/>
        <v>215.74523779999998</v>
      </c>
    </row>
    <row r="79" spans="1:5" x14ac:dyDescent="0.15">
      <c r="A79" s="2" t="s">
        <v>277</v>
      </c>
      <c r="B79" s="2" t="s">
        <v>74</v>
      </c>
      <c r="C79" s="3">
        <v>5218.22</v>
      </c>
      <c r="D79">
        <f t="shared" si="2"/>
        <v>5.2182200000000005</v>
      </c>
      <c r="E79" s="19">
        <f t="shared" si="3"/>
        <v>205.44132140000002</v>
      </c>
    </row>
    <row r="80" spans="1:5" x14ac:dyDescent="0.15">
      <c r="A80" s="2" t="s">
        <v>278</v>
      </c>
      <c r="B80" s="2" t="s">
        <v>75</v>
      </c>
      <c r="C80" s="3">
        <v>5265.7209999999995</v>
      </c>
      <c r="D80">
        <f t="shared" si="2"/>
        <v>5.2657209999999992</v>
      </c>
      <c r="E80" s="19">
        <f t="shared" si="3"/>
        <v>207.31143576999995</v>
      </c>
    </row>
    <row r="81" spans="1:5" x14ac:dyDescent="0.15">
      <c r="A81" s="2" t="s">
        <v>279</v>
      </c>
      <c r="B81" s="2" t="s">
        <v>76</v>
      </c>
      <c r="C81" s="3">
        <v>5038.7430000000004</v>
      </c>
      <c r="D81">
        <f t="shared" si="2"/>
        <v>5.0387430000000002</v>
      </c>
      <c r="E81" s="19">
        <f t="shared" si="3"/>
        <v>198.37531190999999</v>
      </c>
    </row>
    <row r="82" spans="1:5" x14ac:dyDescent="0.15">
      <c r="A82" s="2" t="s">
        <v>280</v>
      </c>
      <c r="B82" s="2" t="s">
        <v>77</v>
      </c>
      <c r="C82" s="3">
        <v>4185.8639999999996</v>
      </c>
      <c r="D82">
        <f t="shared" si="2"/>
        <v>4.1858639999999996</v>
      </c>
      <c r="E82" s="19">
        <f t="shared" si="3"/>
        <v>164.79746567999996</v>
      </c>
    </row>
    <row r="83" spans="1:5" x14ac:dyDescent="0.15">
      <c r="A83" s="2" t="s">
        <v>281</v>
      </c>
      <c r="B83" s="2" t="s">
        <v>78</v>
      </c>
      <c r="C83" s="3">
        <v>4205.4219999999996</v>
      </c>
      <c r="D83">
        <f t="shared" si="2"/>
        <v>4.2054219999999995</v>
      </c>
      <c r="E83" s="19">
        <f t="shared" si="3"/>
        <v>165.56746413999997</v>
      </c>
    </row>
    <row r="84" spans="1:5" x14ac:dyDescent="0.15">
      <c r="A84" s="2" t="s">
        <v>282</v>
      </c>
      <c r="B84" s="2" t="s">
        <v>79</v>
      </c>
      <c r="C84" s="3">
        <v>4686.25</v>
      </c>
      <c r="D84">
        <f t="shared" si="2"/>
        <v>4.6862500000000002</v>
      </c>
      <c r="E84" s="19">
        <f t="shared" si="3"/>
        <v>184.49766249999999</v>
      </c>
    </row>
    <row r="85" spans="1:5" x14ac:dyDescent="0.15">
      <c r="A85" s="2" t="s">
        <v>283</v>
      </c>
      <c r="B85" s="2" t="s">
        <v>80</v>
      </c>
      <c r="C85" s="3">
        <v>2448.7910000000002</v>
      </c>
      <c r="D85">
        <f t="shared" si="2"/>
        <v>2.4487910000000004</v>
      </c>
      <c r="E85" s="19">
        <f t="shared" si="3"/>
        <v>96.408901670000006</v>
      </c>
    </row>
    <row r="86" spans="1:5" x14ac:dyDescent="0.15">
      <c r="A86" s="2" t="s">
        <v>284</v>
      </c>
      <c r="B86" s="2" t="s">
        <v>81</v>
      </c>
      <c r="C86" s="3">
        <v>4185.5649999999996</v>
      </c>
      <c r="D86">
        <f t="shared" si="2"/>
        <v>4.1855649999999995</v>
      </c>
      <c r="E86" s="19">
        <f t="shared" si="3"/>
        <v>164.78569404999996</v>
      </c>
    </row>
    <row r="87" spans="1:5" x14ac:dyDescent="0.15">
      <c r="A87" s="2" t="s">
        <v>285</v>
      </c>
      <c r="B87" s="2" t="s">
        <v>82</v>
      </c>
      <c r="C87" s="3">
        <v>2219.7460000000001</v>
      </c>
      <c r="D87">
        <f t="shared" si="2"/>
        <v>2.2197460000000002</v>
      </c>
      <c r="E87" s="19">
        <f t="shared" si="3"/>
        <v>87.391400020000006</v>
      </c>
    </row>
    <row r="88" spans="1:5" x14ac:dyDescent="0.15">
      <c r="A88" s="15" t="s">
        <v>454</v>
      </c>
      <c r="B88" s="16"/>
      <c r="C88" s="16"/>
      <c r="D88">
        <f t="shared" si="2"/>
        <v>0</v>
      </c>
      <c r="E88" s="19">
        <f t="shared" si="3"/>
        <v>0</v>
      </c>
    </row>
    <row r="89" spans="1:5" x14ac:dyDescent="0.15">
      <c r="A89" s="2" t="s">
        <v>430</v>
      </c>
      <c r="B89" s="2" t="s">
        <v>199</v>
      </c>
      <c r="C89" s="3">
        <v>3162.4119999999998</v>
      </c>
      <c r="D89">
        <f t="shared" si="2"/>
        <v>3.1624119999999998</v>
      </c>
      <c r="E89" s="19">
        <f t="shared" si="3"/>
        <v>124.50416043999998</v>
      </c>
    </row>
    <row r="90" spans="1:5" x14ac:dyDescent="0.15">
      <c r="A90" s="2" t="s">
        <v>286</v>
      </c>
      <c r="B90" s="2" t="s">
        <v>83</v>
      </c>
      <c r="C90" s="3">
        <v>3637.835</v>
      </c>
      <c r="D90">
        <f t="shared" si="2"/>
        <v>3.6378349999999999</v>
      </c>
      <c r="E90" s="19">
        <f t="shared" si="3"/>
        <v>143.22156394999999</v>
      </c>
    </row>
    <row r="91" spans="1:5" x14ac:dyDescent="0.15">
      <c r="A91" s="2" t="s">
        <v>287</v>
      </c>
      <c r="B91" s="2" t="s">
        <v>84</v>
      </c>
      <c r="C91" s="3">
        <v>4681.4040000000005</v>
      </c>
      <c r="D91">
        <f t="shared" si="2"/>
        <v>4.6814040000000006</v>
      </c>
      <c r="E91" s="19">
        <f t="shared" si="3"/>
        <v>184.30687548</v>
      </c>
    </row>
    <row r="92" spans="1:5" x14ac:dyDescent="0.15">
      <c r="A92" s="2" t="s">
        <v>288</v>
      </c>
      <c r="B92" s="2" t="s">
        <v>85</v>
      </c>
      <c r="C92" s="3">
        <v>5977.62</v>
      </c>
      <c r="D92">
        <f t="shared" si="2"/>
        <v>5.9776199999999999</v>
      </c>
      <c r="E92" s="19">
        <f t="shared" si="3"/>
        <v>235.33889939999997</v>
      </c>
    </row>
    <row r="93" spans="1:5" x14ac:dyDescent="0.15">
      <c r="A93" s="2" t="s">
        <v>289</v>
      </c>
      <c r="B93" s="2" t="s">
        <v>86</v>
      </c>
      <c r="C93" s="3">
        <v>2623.9</v>
      </c>
      <c r="D93">
        <f t="shared" si="2"/>
        <v>2.6238999999999999</v>
      </c>
      <c r="E93" s="19">
        <f t="shared" si="3"/>
        <v>103.30294299999998</v>
      </c>
    </row>
    <row r="94" spans="1:5" x14ac:dyDescent="0.15">
      <c r="A94" s="2" t="s">
        <v>290</v>
      </c>
      <c r="B94" s="2" t="s">
        <v>87</v>
      </c>
      <c r="C94" s="3">
        <v>2484.317</v>
      </c>
      <c r="D94">
        <f t="shared" si="2"/>
        <v>2.4843169999999999</v>
      </c>
      <c r="E94" s="19">
        <f t="shared" si="3"/>
        <v>97.807560289999984</v>
      </c>
    </row>
    <row r="95" spans="1:5" x14ac:dyDescent="0.15">
      <c r="A95" s="2" t="s">
        <v>291</v>
      </c>
      <c r="B95" s="2" t="s">
        <v>88</v>
      </c>
      <c r="C95" s="3">
        <v>6616.143</v>
      </c>
      <c r="D95">
        <f t="shared" si="2"/>
        <v>6.6161430000000001</v>
      </c>
      <c r="E95" s="19">
        <f t="shared" si="3"/>
        <v>260.47754990999999</v>
      </c>
    </row>
    <row r="96" spans="1:5" x14ac:dyDescent="0.15">
      <c r="A96" s="2" t="s">
        <v>292</v>
      </c>
      <c r="B96" s="2" t="s">
        <v>89</v>
      </c>
      <c r="C96" s="3">
        <v>2571.0419999999999</v>
      </c>
      <c r="D96">
        <f t="shared" si="2"/>
        <v>2.5710419999999998</v>
      </c>
      <c r="E96" s="19">
        <f t="shared" si="3"/>
        <v>101.22192353999999</v>
      </c>
    </row>
    <row r="97" spans="1:10" x14ac:dyDescent="0.15">
      <c r="A97" s="2" t="s">
        <v>293</v>
      </c>
      <c r="B97" s="2" t="s">
        <v>90</v>
      </c>
      <c r="C97" s="3">
        <v>3727.8809999999999</v>
      </c>
      <c r="D97">
        <f t="shared" si="2"/>
        <v>3.727881</v>
      </c>
      <c r="E97" s="19">
        <f t="shared" si="3"/>
        <v>146.76667497</v>
      </c>
    </row>
    <row r="98" spans="1:10" x14ac:dyDescent="0.15">
      <c r="A98" s="2" t="s">
        <v>294</v>
      </c>
      <c r="B98" s="2" t="s">
        <v>91</v>
      </c>
      <c r="C98" s="3">
        <v>4527.7719999999999</v>
      </c>
      <c r="D98">
        <f t="shared" si="2"/>
        <v>4.5277719999999997</v>
      </c>
      <c r="E98" s="19">
        <f t="shared" si="3"/>
        <v>178.25838363999998</v>
      </c>
    </row>
    <row r="99" spans="1:10" x14ac:dyDescent="0.15">
      <c r="A99" s="15" t="s">
        <v>453</v>
      </c>
      <c r="B99" s="16"/>
      <c r="C99" s="16"/>
      <c r="D99">
        <f t="shared" si="2"/>
        <v>0</v>
      </c>
      <c r="E99" s="19">
        <f t="shared" si="3"/>
        <v>0</v>
      </c>
    </row>
    <row r="100" spans="1:10" x14ac:dyDescent="0.15">
      <c r="A100" s="2" t="s">
        <v>295</v>
      </c>
      <c r="B100" s="2" t="s">
        <v>92</v>
      </c>
      <c r="C100" s="3">
        <v>2653.9</v>
      </c>
      <c r="D100">
        <f t="shared" si="2"/>
        <v>2.6539000000000001</v>
      </c>
      <c r="E100" s="19">
        <f t="shared" si="3"/>
        <v>104.484043</v>
      </c>
    </row>
    <row r="101" spans="1:10" x14ac:dyDescent="0.15">
      <c r="A101" s="2" t="s">
        <v>296</v>
      </c>
      <c r="B101" s="2" t="s">
        <v>93</v>
      </c>
      <c r="C101" s="3">
        <v>3671.0619999999999</v>
      </c>
      <c r="D101">
        <f t="shared" si="2"/>
        <v>3.671062</v>
      </c>
      <c r="E101" s="19">
        <f t="shared" si="3"/>
        <v>144.52971094</v>
      </c>
    </row>
    <row r="102" spans="1:10" x14ac:dyDescent="0.15">
      <c r="A102" s="2" t="s">
        <v>297</v>
      </c>
      <c r="B102" s="2" t="s">
        <v>94</v>
      </c>
      <c r="C102" s="3">
        <v>3904.6950000000002</v>
      </c>
      <c r="D102">
        <f t="shared" si="2"/>
        <v>3.9046950000000002</v>
      </c>
      <c r="E102" s="19">
        <f t="shared" si="3"/>
        <v>153.72784214999999</v>
      </c>
    </row>
    <row r="103" spans="1:10" x14ac:dyDescent="0.15">
      <c r="A103" s="2" t="s">
        <v>298</v>
      </c>
      <c r="B103" s="2" t="s">
        <v>95</v>
      </c>
      <c r="C103" s="3">
        <v>4865.3450000000003</v>
      </c>
      <c r="D103">
        <f t="shared" si="2"/>
        <v>4.8653450000000005</v>
      </c>
      <c r="E103" s="19">
        <f t="shared" si="3"/>
        <v>191.54863265</v>
      </c>
    </row>
    <row r="104" spans="1:10" x14ac:dyDescent="0.15">
      <c r="A104" s="2" t="s">
        <v>299</v>
      </c>
      <c r="B104" s="2" t="s">
        <v>96</v>
      </c>
      <c r="C104" s="3">
        <v>4182.4369999999999</v>
      </c>
      <c r="D104">
        <f t="shared" si="2"/>
        <v>4.1824370000000002</v>
      </c>
      <c r="E104" s="19">
        <f t="shared" si="3"/>
        <v>164.66254469</v>
      </c>
    </row>
    <row r="105" spans="1:10" x14ac:dyDescent="0.15">
      <c r="A105" s="2" t="s">
        <v>300</v>
      </c>
      <c r="B105" s="2" t="s">
        <v>97</v>
      </c>
      <c r="C105" s="3">
        <v>3348.38</v>
      </c>
      <c r="D105">
        <f t="shared" si="2"/>
        <v>3.3483800000000001</v>
      </c>
      <c r="E105" s="19">
        <f t="shared" si="3"/>
        <v>131.82572059999998</v>
      </c>
    </row>
    <row r="106" spans="1:10" x14ac:dyDescent="0.15">
      <c r="A106" s="2" t="s">
        <v>301</v>
      </c>
      <c r="B106" s="2" t="s">
        <v>98</v>
      </c>
      <c r="C106" s="3">
        <v>2236.06</v>
      </c>
      <c r="D106">
        <f t="shared" si="2"/>
        <v>2.2360600000000002</v>
      </c>
      <c r="E106" s="19">
        <f t="shared" si="3"/>
        <v>88.033682200000001</v>
      </c>
    </row>
    <row r="107" spans="1:10" x14ac:dyDescent="0.15">
      <c r="A107" s="2" t="s">
        <v>302</v>
      </c>
      <c r="B107" s="2" t="s">
        <v>99</v>
      </c>
      <c r="C107" s="3">
        <v>1889.1220000000001</v>
      </c>
      <c r="D107">
        <f t="shared" si="2"/>
        <v>1.889122</v>
      </c>
      <c r="E107" s="19">
        <f t="shared" si="3"/>
        <v>74.374733139999989</v>
      </c>
    </row>
    <row r="108" spans="1:10" x14ac:dyDescent="0.15">
      <c r="A108" s="2" t="s">
        <v>303</v>
      </c>
      <c r="B108" s="2" t="s">
        <v>100</v>
      </c>
      <c r="C108" s="3">
        <v>6294.3090000000002</v>
      </c>
      <c r="D108">
        <f t="shared" si="2"/>
        <v>6.2943090000000002</v>
      </c>
      <c r="E108" s="19">
        <f t="shared" si="3"/>
        <v>247.80694532999999</v>
      </c>
    </row>
    <row r="109" spans="1:10" x14ac:dyDescent="0.15">
      <c r="A109" s="2" t="s">
        <v>304</v>
      </c>
      <c r="B109" s="2" t="s">
        <v>101</v>
      </c>
      <c r="C109" s="3">
        <v>4964.25</v>
      </c>
      <c r="D109">
        <f t="shared" si="2"/>
        <v>4.9642499999999998</v>
      </c>
      <c r="E109" s="19">
        <f t="shared" si="3"/>
        <v>195.44252249999997</v>
      </c>
    </row>
    <row r="110" spans="1:10" x14ac:dyDescent="0.15">
      <c r="A110" s="2" t="s">
        <v>305</v>
      </c>
      <c r="B110" s="2" t="s">
        <v>102</v>
      </c>
      <c r="C110" s="3">
        <v>4266.933</v>
      </c>
      <c r="D110">
        <f t="shared" si="2"/>
        <v>4.2669329999999999</v>
      </c>
      <c r="E110" s="19">
        <f t="shared" si="3"/>
        <v>167.98915220999999</v>
      </c>
    </row>
    <row r="111" spans="1:10" x14ac:dyDescent="0.15">
      <c r="A111" s="15" t="s">
        <v>438</v>
      </c>
      <c r="B111" s="16"/>
      <c r="C111" s="16"/>
      <c r="D111">
        <f t="shared" si="2"/>
        <v>0</v>
      </c>
      <c r="E111" s="19">
        <f t="shared" si="3"/>
        <v>0</v>
      </c>
      <c r="G111" s="23" t="s">
        <v>492</v>
      </c>
    </row>
    <row r="112" spans="1:10" x14ac:dyDescent="0.15">
      <c r="A112" s="2" t="s">
        <v>306</v>
      </c>
      <c r="B112" s="2" t="s">
        <v>103</v>
      </c>
      <c r="C112" s="3">
        <v>5142.3559999999998</v>
      </c>
      <c r="D112">
        <f t="shared" si="2"/>
        <v>5.1423559999999995</v>
      </c>
      <c r="E112" s="19">
        <f t="shared" si="3"/>
        <v>202.45455571999997</v>
      </c>
      <c r="F112" s="19">
        <v>459</v>
      </c>
      <c r="G112" s="23">
        <f>F112+E112</f>
        <v>661.45455571999992</v>
      </c>
      <c r="H112" t="s">
        <v>491</v>
      </c>
      <c r="I112" t="s">
        <v>491</v>
      </c>
      <c r="J112" s="22" t="str">
        <f>I112&amp;G112&amp;H112</f>
        <v>"661.45455572"</v>
      </c>
    </row>
    <row r="113" spans="1:10" x14ac:dyDescent="0.15">
      <c r="A113" s="2" t="s">
        <v>307</v>
      </c>
      <c r="B113" s="2" t="s">
        <v>104</v>
      </c>
      <c r="C113" s="3">
        <v>5831.1239999999998</v>
      </c>
      <c r="D113">
        <f t="shared" si="2"/>
        <v>5.831124</v>
      </c>
      <c r="E113" s="19">
        <f t="shared" si="3"/>
        <v>229.57135187999998</v>
      </c>
      <c r="F113" s="19">
        <v>422.18</v>
      </c>
      <c r="G113" s="23">
        <f t="shared" ref="G113:G128" si="4">F113+E113</f>
        <v>651.75135188000002</v>
      </c>
      <c r="J113" s="22" t="str">
        <f t="shared" ref="J113:J176" si="5">I113&amp;G113&amp;H113</f>
        <v>651.75135188</v>
      </c>
    </row>
    <row r="114" spans="1:10" x14ac:dyDescent="0.15">
      <c r="A114" s="2" t="s">
        <v>308</v>
      </c>
      <c r="B114" s="2" t="s">
        <v>105</v>
      </c>
      <c r="C114" s="3">
        <v>3508.3589999999999</v>
      </c>
      <c r="D114">
        <f t="shared" si="2"/>
        <v>3.508359</v>
      </c>
      <c r="E114" s="19">
        <f t="shared" si="3"/>
        <v>138.12409382999999</v>
      </c>
      <c r="F114" s="19">
        <v>456.99</v>
      </c>
      <c r="G114" s="23">
        <f t="shared" si="4"/>
        <v>595.11409383</v>
      </c>
      <c r="J114" s="22" t="str">
        <f t="shared" si="5"/>
        <v>595.11409383</v>
      </c>
    </row>
    <row r="115" spans="1:10" x14ac:dyDescent="0.15">
      <c r="A115" s="2" t="s">
        <v>309</v>
      </c>
      <c r="B115" s="2" t="s">
        <v>106</v>
      </c>
      <c r="C115" s="3">
        <v>4097.3950000000004</v>
      </c>
      <c r="D115">
        <f t="shared" si="2"/>
        <v>4.0973950000000006</v>
      </c>
      <c r="E115" s="19">
        <f t="shared" si="3"/>
        <v>161.31444115000002</v>
      </c>
      <c r="F115" s="19">
        <v>431.74</v>
      </c>
      <c r="G115" s="23">
        <f t="shared" si="4"/>
        <v>593.05444115</v>
      </c>
      <c r="J115" s="22" t="str">
        <f t="shared" si="5"/>
        <v>593.05444115</v>
      </c>
    </row>
    <row r="116" spans="1:10" x14ac:dyDescent="0.15">
      <c r="A116" s="2" t="s">
        <v>310</v>
      </c>
      <c r="B116" s="2" t="s">
        <v>107</v>
      </c>
      <c r="C116" s="3">
        <v>4640.7659999999996</v>
      </c>
      <c r="D116">
        <f t="shared" si="2"/>
        <v>4.6407659999999993</v>
      </c>
      <c r="E116" s="19">
        <f t="shared" si="3"/>
        <v>182.70695741999995</v>
      </c>
      <c r="F116" s="19">
        <v>410.82</v>
      </c>
      <c r="G116" s="23">
        <f t="shared" si="4"/>
        <v>593.52695741999992</v>
      </c>
      <c r="J116" s="22" t="str">
        <f t="shared" si="5"/>
        <v>593.52695742</v>
      </c>
    </row>
    <row r="117" spans="1:10" x14ac:dyDescent="0.15">
      <c r="A117" s="2" t="s">
        <v>311</v>
      </c>
      <c r="B117" s="2" t="s">
        <v>108</v>
      </c>
      <c r="C117" s="3">
        <v>5346.4920000000002</v>
      </c>
      <c r="D117">
        <f t="shared" si="2"/>
        <v>5.3464920000000005</v>
      </c>
      <c r="E117" s="19">
        <f t="shared" si="3"/>
        <v>210.49139004</v>
      </c>
      <c r="F117" s="19">
        <v>407.94</v>
      </c>
      <c r="G117" s="23">
        <f t="shared" si="4"/>
        <v>618.43139004</v>
      </c>
      <c r="J117" s="22" t="str">
        <f t="shared" si="5"/>
        <v>618.43139004</v>
      </c>
    </row>
    <row r="118" spans="1:10" x14ac:dyDescent="0.15">
      <c r="A118" s="2" t="s">
        <v>312</v>
      </c>
      <c r="B118" s="2" t="s">
        <v>109</v>
      </c>
      <c r="C118" s="3">
        <v>3607.8649999999998</v>
      </c>
      <c r="D118">
        <f t="shared" si="2"/>
        <v>3.6078649999999999</v>
      </c>
      <c r="E118" s="19">
        <f t="shared" si="3"/>
        <v>142.04164505</v>
      </c>
      <c r="F118" s="19">
        <v>490.38</v>
      </c>
      <c r="G118" s="23">
        <f t="shared" si="4"/>
        <v>632.42164505000005</v>
      </c>
      <c r="J118" s="22" t="str">
        <f t="shared" si="5"/>
        <v>632.42164505</v>
      </c>
    </row>
    <row r="119" spans="1:10" x14ac:dyDescent="0.15">
      <c r="A119" s="2" t="s">
        <v>313</v>
      </c>
      <c r="B119" s="2" t="s">
        <v>110</v>
      </c>
      <c r="C119" s="3">
        <v>3774.777</v>
      </c>
      <c r="D119">
        <f t="shared" si="2"/>
        <v>3.7747769999999998</v>
      </c>
      <c r="E119" s="19">
        <f t="shared" si="3"/>
        <v>148.61297048999998</v>
      </c>
      <c r="F119" s="19">
        <v>474.61</v>
      </c>
      <c r="G119" s="23">
        <f t="shared" si="4"/>
        <v>623.22297048999997</v>
      </c>
      <c r="J119" s="22" t="str">
        <f t="shared" si="5"/>
        <v>623.22297049</v>
      </c>
    </row>
    <row r="120" spans="1:10" x14ac:dyDescent="0.15">
      <c r="A120" s="2" t="s">
        <v>314</v>
      </c>
      <c r="B120" s="2" t="s">
        <v>111</v>
      </c>
      <c r="C120" s="3">
        <v>3027.3409999999999</v>
      </c>
      <c r="D120">
        <f t="shared" si="2"/>
        <v>3.0273409999999998</v>
      </c>
      <c r="E120" s="19">
        <f t="shared" si="3"/>
        <v>119.18641516999999</v>
      </c>
      <c r="F120" s="19">
        <v>480</v>
      </c>
      <c r="G120" s="23">
        <f t="shared" si="4"/>
        <v>599.18641517000003</v>
      </c>
      <c r="J120" s="22" t="str">
        <f t="shared" si="5"/>
        <v>599.18641517</v>
      </c>
    </row>
    <row r="121" spans="1:10" x14ac:dyDescent="0.15">
      <c r="A121" s="2" t="s">
        <v>315</v>
      </c>
      <c r="B121" s="2" t="s">
        <v>112</v>
      </c>
      <c r="C121" s="3">
        <v>5150.4369999999999</v>
      </c>
      <c r="D121">
        <f t="shared" si="2"/>
        <v>5.1504370000000002</v>
      </c>
      <c r="E121" s="19">
        <f t="shared" si="3"/>
        <v>202.77270468999998</v>
      </c>
      <c r="F121" s="19">
        <v>537</v>
      </c>
      <c r="G121" s="23">
        <f t="shared" si="4"/>
        <v>739.77270468999996</v>
      </c>
      <c r="J121" s="22" t="str">
        <f t="shared" si="5"/>
        <v>739.77270469</v>
      </c>
    </row>
    <row r="122" spans="1:10" x14ac:dyDescent="0.15">
      <c r="A122" s="15" t="s">
        <v>439</v>
      </c>
      <c r="B122" s="16"/>
      <c r="C122" s="16"/>
      <c r="D122">
        <f t="shared" si="2"/>
        <v>0</v>
      </c>
      <c r="E122" s="19">
        <f t="shared" si="3"/>
        <v>0</v>
      </c>
      <c r="J122" s="22" t="str">
        <f t="shared" si="5"/>
        <v/>
      </c>
    </row>
    <row r="123" spans="1:10" x14ac:dyDescent="0.15">
      <c r="A123" s="2" t="s">
        <v>316</v>
      </c>
      <c r="B123" s="2" t="s">
        <v>113</v>
      </c>
      <c r="C123" s="3">
        <v>3511.674</v>
      </c>
      <c r="D123">
        <f t="shared" si="2"/>
        <v>3.5116740000000002</v>
      </c>
      <c r="E123" s="19">
        <f t="shared" si="3"/>
        <v>138.25460537999999</v>
      </c>
      <c r="F123" s="19">
        <v>1243</v>
      </c>
      <c r="G123" s="23">
        <f t="shared" si="4"/>
        <v>1381.2546053799999</v>
      </c>
      <c r="J123" s="22" t="str">
        <f t="shared" si="5"/>
        <v>1381.25460538</v>
      </c>
    </row>
    <row r="124" spans="1:10" x14ac:dyDescent="0.15">
      <c r="A124" s="2" t="s">
        <v>317</v>
      </c>
      <c r="B124" s="2" t="s">
        <v>114</v>
      </c>
      <c r="C124" s="3">
        <v>2828.7809999999999</v>
      </c>
      <c r="D124">
        <f t="shared" si="2"/>
        <v>2.8287809999999998</v>
      </c>
      <c r="E124" s="19">
        <f t="shared" si="3"/>
        <v>111.36910796999999</v>
      </c>
      <c r="F124" s="19">
        <v>1262</v>
      </c>
      <c r="G124" s="23">
        <f t="shared" si="4"/>
        <v>1373.36910797</v>
      </c>
      <c r="J124" s="22" t="str">
        <f t="shared" si="5"/>
        <v>1373.36910797</v>
      </c>
    </row>
    <row r="125" spans="1:10" x14ac:dyDescent="0.15">
      <c r="A125" s="2" t="s">
        <v>318</v>
      </c>
      <c r="B125" s="2" t="s">
        <v>115</v>
      </c>
      <c r="C125" s="3">
        <v>1920.0909999999999</v>
      </c>
      <c r="D125">
        <f t="shared" si="2"/>
        <v>1.920091</v>
      </c>
      <c r="E125" s="19">
        <f t="shared" si="3"/>
        <v>75.593982669999988</v>
      </c>
      <c r="F125" s="19">
        <v>1256</v>
      </c>
      <c r="G125" s="23">
        <f t="shared" si="4"/>
        <v>1331.5939826700001</v>
      </c>
      <c r="J125" s="22" t="str">
        <f t="shared" si="5"/>
        <v>1331.59398267</v>
      </c>
    </row>
    <row r="126" spans="1:10" x14ac:dyDescent="0.15">
      <c r="A126" s="2" t="s">
        <v>319</v>
      </c>
      <c r="B126" s="2" t="s">
        <v>116</v>
      </c>
      <c r="C126" s="3">
        <v>1914.548</v>
      </c>
      <c r="D126">
        <f t="shared" si="2"/>
        <v>1.9145479999999999</v>
      </c>
      <c r="E126" s="19">
        <f t="shared" si="3"/>
        <v>75.375754759999992</v>
      </c>
      <c r="F126" s="19">
        <v>1243</v>
      </c>
      <c r="G126" s="23">
        <f t="shared" si="4"/>
        <v>1318.3757547600001</v>
      </c>
      <c r="J126" s="22" t="str">
        <f t="shared" si="5"/>
        <v>1318.37575476</v>
      </c>
    </row>
    <row r="127" spans="1:10" x14ac:dyDescent="0.15">
      <c r="A127" s="2" t="s">
        <v>320</v>
      </c>
      <c r="B127" s="2" t="s">
        <v>117</v>
      </c>
      <c r="C127" s="3">
        <v>4262.2809999999999</v>
      </c>
      <c r="D127">
        <f t="shared" si="2"/>
        <v>4.2622809999999998</v>
      </c>
      <c r="E127" s="19">
        <f t="shared" si="3"/>
        <v>167.80600296999998</v>
      </c>
      <c r="F127" s="19">
        <v>1246</v>
      </c>
      <c r="G127" s="23">
        <f t="shared" si="4"/>
        <v>1413.80600297</v>
      </c>
      <c r="J127" s="22" t="str">
        <f t="shared" si="5"/>
        <v>1413.80600297</v>
      </c>
    </row>
    <row r="128" spans="1:10" x14ac:dyDescent="0.15">
      <c r="A128" s="2" t="s">
        <v>321</v>
      </c>
      <c r="B128" s="2" t="s">
        <v>118</v>
      </c>
      <c r="C128" s="3">
        <v>3628.6660000000002</v>
      </c>
      <c r="D128">
        <f t="shared" ref="D128:D182" si="6">C128/1000</f>
        <v>3.6286659999999999</v>
      </c>
      <c r="E128" s="19">
        <f t="shared" ref="E128:E182" si="7">D128*39.37</f>
        <v>142.86058041999999</v>
      </c>
      <c r="F128" s="19">
        <v>1238</v>
      </c>
      <c r="G128" s="23">
        <f t="shared" si="4"/>
        <v>1380.8605804199999</v>
      </c>
      <c r="J128" s="22" t="str">
        <f t="shared" si="5"/>
        <v>1380.86058042</v>
      </c>
    </row>
    <row r="129" spans="1:10" x14ac:dyDescent="0.15">
      <c r="A129" s="15" t="s">
        <v>445</v>
      </c>
      <c r="B129" s="16"/>
      <c r="C129" s="16"/>
      <c r="D129">
        <f t="shared" si="6"/>
        <v>0</v>
      </c>
      <c r="E129" s="19">
        <f t="shared" si="7"/>
        <v>0</v>
      </c>
      <c r="J129" s="22" t="str">
        <f t="shared" si="5"/>
        <v/>
      </c>
    </row>
    <row r="130" spans="1:10" x14ac:dyDescent="0.15">
      <c r="A130" s="2" t="s">
        <v>322</v>
      </c>
      <c r="B130" s="2" t="s">
        <v>440</v>
      </c>
      <c r="C130" s="3">
        <v>3510.0790000000002</v>
      </c>
      <c r="D130">
        <f t="shared" si="6"/>
        <v>3.5100790000000002</v>
      </c>
      <c r="E130" s="19">
        <f t="shared" si="7"/>
        <v>138.19181022999999</v>
      </c>
      <c r="F130" s="19">
        <v>540</v>
      </c>
      <c r="G130" s="23">
        <f t="shared" ref="G130:G135" si="8">F130+E130</f>
        <v>678.19181022999999</v>
      </c>
      <c r="J130" s="22" t="str">
        <f t="shared" si="5"/>
        <v>678.19181023</v>
      </c>
    </row>
    <row r="131" spans="1:10" x14ac:dyDescent="0.15">
      <c r="A131" s="2" t="s">
        <v>323</v>
      </c>
      <c r="B131" s="2" t="s">
        <v>441</v>
      </c>
      <c r="C131" s="3">
        <v>5567.6629999999996</v>
      </c>
      <c r="D131">
        <f t="shared" si="6"/>
        <v>5.5676629999999996</v>
      </c>
      <c r="E131" s="19">
        <f t="shared" si="7"/>
        <v>219.19889230999996</v>
      </c>
      <c r="F131" s="19">
        <v>489.37</v>
      </c>
      <c r="G131" s="23">
        <f t="shared" si="8"/>
        <v>708.56889230999991</v>
      </c>
      <c r="J131" s="22" t="str">
        <f t="shared" si="5"/>
        <v>708.56889231</v>
      </c>
    </row>
    <row r="132" spans="1:10" x14ac:dyDescent="0.15">
      <c r="A132" s="2" t="s">
        <v>324</v>
      </c>
      <c r="B132" s="2" t="s">
        <v>442</v>
      </c>
      <c r="C132" s="3">
        <v>4763.6679999999997</v>
      </c>
      <c r="D132">
        <f t="shared" si="6"/>
        <v>4.763668</v>
      </c>
      <c r="E132" s="19">
        <f t="shared" si="7"/>
        <v>187.54560916</v>
      </c>
      <c r="F132" s="19">
        <v>537.85</v>
      </c>
      <c r="G132" s="23">
        <f t="shared" si="8"/>
        <v>725.39560916000005</v>
      </c>
      <c r="J132" s="22" t="str">
        <f t="shared" si="5"/>
        <v>725.39560916</v>
      </c>
    </row>
    <row r="133" spans="1:10" x14ac:dyDescent="0.15">
      <c r="A133" s="2" t="s">
        <v>325</v>
      </c>
      <c r="B133" s="2" t="s">
        <v>443</v>
      </c>
      <c r="C133" s="3">
        <v>4088.9630000000002</v>
      </c>
      <c r="D133">
        <f t="shared" si="6"/>
        <v>4.0889630000000006</v>
      </c>
      <c r="E133" s="19">
        <f t="shared" si="7"/>
        <v>160.98247331000002</v>
      </c>
      <c r="F133" s="19">
        <v>547.88</v>
      </c>
      <c r="G133" s="23">
        <f t="shared" si="8"/>
        <v>708.86247331000004</v>
      </c>
      <c r="J133" s="22" t="str">
        <f t="shared" si="5"/>
        <v>708.86247331</v>
      </c>
    </row>
    <row r="134" spans="1:10" x14ac:dyDescent="0.15">
      <c r="A134" s="2" t="s">
        <v>326</v>
      </c>
      <c r="B134" s="2" t="s">
        <v>463</v>
      </c>
      <c r="C134" s="3">
        <v>3133.6579999999999</v>
      </c>
      <c r="D134">
        <f t="shared" si="6"/>
        <v>3.1336580000000001</v>
      </c>
      <c r="E134" s="19">
        <f t="shared" si="7"/>
        <v>123.37211545999999</v>
      </c>
      <c r="F134" s="19">
        <v>595.63</v>
      </c>
      <c r="G134" s="23">
        <f t="shared" si="8"/>
        <v>719.00211546000003</v>
      </c>
      <c r="J134" s="22" t="str">
        <f t="shared" si="5"/>
        <v>719.00211546</v>
      </c>
    </row>
    <row r="135" spans="1:10" x14ac:dyDescent="0.15">
      <c r="A135" s="2" t="s">
        <v>327</v>
      </c>
      <c r="B135" s="2" t="s">
        <v>444</v>
      </c>
      <c r="C135" s="3">
        <v>3813.93</v>
      </c>
      <c r="D135">
        <f t="shared" si="6"/>
        <v>3.81393</v>
      </c>
      <c r="E135" s="19">
        <f t="shared" si="7"/>
        <v>150.1544241</v>
      </c>
      <c r="F135" s="19">
        <v>573.14</v>
      </c>
      <c r="G135" s="23">
        <f t="shared" si="8"/>
        <v>723.29442410000001</v>
      </c>
      <c r="J135" s="22" t="str">
        <f t="shared" si="5"/>
        <v>723.2944241</v>
      </c>
    </row>
    <row r="136" spans="1:10" x14ac:dyDescent="0.15">
      <c r="A136" s="15" t="s">
        <v>455</v>
      </c>
      <c r="B136" s="16"/>
      <c r="C136" s="16"/>
      <c r="D136">
        <f t="shared" si="6"/>
        <v>0</v>
      </c>
      <c r="E136" s="19">
        <f t="shared" si="7"/>
        <v>0</v>
      </c>
      <c r="J136" s="22" t="str">
        <f t="shared" si="5"/>
        <v/>
      </c>
    </row>
    <row r="137" spans="1:10" x14ac:dyDescent="0.15">
      <c r="A137" s="2" t="s">
        <v>328</v>
      </c>
      <c r="B137" s="2" t="s">
        <v>119</v>
      </c>
      <c r="C137" s="3">
        <v>4307.317</v>
      </c>
      <c r="D137">
        <f t="shared" si="6"/>
        <v>4.3073170000000003</v>
      </c>
      <c r="E137" s="19">
        <f t="shared" si="7"/>
        <v>169.57907029</v>
      </c>
      <c r="J137" s="22" t="str">
        <f t="shared" si="5"/>
        <v/>
      </c>
    </row>
    <row r="138" spans="1:10" x14ac:dyDescent="0.15">
      <c r="A138" s="2" t="s">
        <v>329</v>
      </c>
      <c r="B138" s="2" t="s">
        <v>120</v>
      </c>
      <c r="C138" s="3">
        <v>5095.07</v>
      </c>
      <c r="D138">
        <f t="shared" si="6"/>
        <v>5.0950699999999998</v>
      </c>
      <c r="E138" s="19">
        <f t="shared" si="7"/>
        <v>200.59290589999998</v>
      </c>
      <c r="J138" s="22" t="str">
        <f t="shared" si="5"/>
        <v/>
      </c>
    </row>
    <row r="139" spans="1:10" x14ac:dyDescent="0.15">
      <c r="A139" s="2" t="s">
        <v>330</v>
      </c>
      <c r="B139" s="2" t="s">
        <v>121</v>
      </c>
      <c r="C139" s="3">
        <v>2793.2220000000002</v>
      </c>
      <c r="D139">
        <f t="shared" si="6"/>
        <v>2.7932220000000001</v>
      </c>
      <c r="E139" s="19">
        <f t="shared" si="7"/>
        <v>109.96915014</v>
      </c>
      <c r="J139" s="22" t="str">
        <f t="shared" si="5"/>
        <v/>
      </c>
    </row>
    <row r="140" spans="1:10" x14ac:dyDescent="0.15">
      <c r="A140" s="2" t="s">
        <v>331</v>
      </c>
      <c r="B140" s="2" t="s">
        <v>122</v>
      </c>
      <c r="C140" s="3">
        <v>3567.576</v>
      </c>
      <c r="D140">
        <f t="shared" si="6"/>
        <v>3.5675759999999999</v>
      </c>
      <c r="E140" s="19">
        <f t="shared" si="7"/>
        <v>140.45546711999998</v>
      </c>
      <c r="J140" s="22" t="str">
        <f t="shared" si="5"/>
        <v/>
      </c>
    </row>
    <row r="141" spans="1:10" x14ac:dyDescent="0.15">
      <c r="A141" s="2" t="s">
        <v>332</v>
      </c>
      <c r="B141" s="2" t="s">
        <v>123</v>
      </c>
      <c r="C141" s="3">
        <v>4082.89</v>
      </c>
      <c r="D141">
        <f t="shared" si="6"/>
        <v>4.0828899999999999</v>
      </c>
      <c r="E141" s="19">
        <f t="shared" si="7"/>
        <v>160.74337929999999</v>
      </c>
      <c r="J141" s="22" t="str">
        <f t="shared" si="5"/>
        <v/>
      </c>
    </row>
    <row r="142" spans="1:10" x14ac:dyDescent="0.15">
      <c r="A142" s="2" t="s">
        <v>333</v>
      </c>
      <c r="B142" s="2" t="s">
        <v>124</v>
      </c>
      <c r="C142" s="3">
        <v>2392.7159999999999</v>
      </c>
      <c r="D142">
        <f t="shared" si="6"/>
        <v>2.3927160000000001</v>
      </c>
      <c r="E142" s="19">
        <f t="shared" si="7"/>
        <v>94.201228919999991</v>
      </c>
      <c r="J142" s="22" t="str">
        <f t="shared" si="5"/>
        <v/>
      </c>
    </row>
    <row r="143" spans="1:10" x14ac:dyDescent="0.15">
      <c r="A143" s="2" t="s">
        <v>334</v>
      </c>
      <c r="B143" s="2" t="s">
        <v>125</v>
      </c>
      <c r="C143" s="3">
        <v>2481.8809999999999</v>
      </c>
      <c r="D143">
        <f t="shared" si="6"/>
        <v>2.481881</v>
      </c>
      <c r="E143" s="19">
        <f t="shared" si="7"/>
        <v>97.711654969999998</v>
      </c>
      <c r="J143" s="22" t="str">
        <f t="shared" si="5"/>
        <v/>
      </c>
    </row>
    <row r="144" spans="1:10" x14ac:dyDescent="0.15">
      <c r="A144" s="2" t="s">
        <v>335</v>
      </c>
      <c r="B144" s="2" t="s">
        <v>126</v>
      </c>
      <c r="C144" s="3">
        <v>3219.8</v>
      </c>
      <c r="D144">
        <f t="shared" si="6"/>
        <v>3.2198000000000002</v>
      </c>
      <c r="E144" s="19">
        <f t="shared" si="7"/>
        <v>126.763526</v>
      </c>
      <c r="J144" s="22" t="str">
        <f t="shared" si="5"/>
        <v/>
      </c>
    </row>
    <row r="145" spans="1:10" x14ac:dyDescent="0.15">
      <c r="A145" s="2" t="s">
        <v>336</v>
      </c>
      <c r="B145" s="2" t="s">
        <v>462</v>
      </c>
      <c r="C145" s="3">
        <v>3780.8890000000001</v>
      </c>
      <c r="D145">
        <f t="shared" si="6"/>
        <v>3.7808890000000002</v>
      </c>
      <c r="E145" s="19">
        <f t="shared" si="7"/>
        <v>148.85359993</v>
      </c>
      <c r="J145" s="22" t="str">
        <f t="shared" si="5"/>
        <v/>
      </c>
    </row>
    <row r="146" spans="1:10" x14ac:dyDescent="0.15">
      <c r="A146" s="2" t="s">
        <v>337</v>
      </c>
      <c r="B146" s="2" t="s">
        <v>461</v>
      </c>
      <c r="C146" s="3">
        <v>4579.33</v>
      </c>
      <c r="D146">
        <f t="shared" si="6"/>
        <v>4.5793299999999997</v>
      </c>
      <c r="E146" s="19">
        <f t="shared" si="7"/>
        <v>180.28822209999998</v>
      </c>
      <c r="J146" s="22" t="str">
        <f t="shared" si="5"/>
        <v/>
      </c>
    </row>
    <row r="147" spans="1:10" x14ac:dyDescent="0.15">
      <c r="A147" s="15" t="s">
        <v>456</v>
      </c>
      <c r="B147" s="16"/>
      <c r="C147" s="16"/>
      <c r="D147">
        <f t="shared" si="6"/>
        <v>0</v>
      </c>
      <c r="E147" s="19">
        <f t="shared" si="7"/>
        <v>0</v>
      </c>
      <c r="J147" s="22" t="str">
        <f t="shared" si="5"/>
        <v/>
      </c>
    </row>
    <row r="148" spans="1:10" x14ac:dyDescent="0.15">
      <c r="A148" s="2" t="s">
        <v>338</v>
      </c>
      <c r="B148" s="2" t="s">
        <v>127</v>
      </c>
      <c r="C148" s="3">
        <v>4604.2839999999997</v>
      </c>
      <c r="D148">
        <f t="shared" si="6"/>
        <v>4.6042839999999998</v>
      </c>
      <c r="E148" s="19">
        <f t="shared" si="7"/>
        <v>181.27066107999997</v>
      </c>
      <c r="J148" s="22" t="str">
        <f t="shared" si="5"/>
        <v/>
      </c>
    </row>
    <row r="149" spans="1:10" x14ac:dyDescent="0.15">
      <c r="A149" s="2" t="s">
        <v>339</v>
      </c>
      <c r="B149" s="2" t="s">
        <v>128</v>
      </c>
      <c r="C149" s="3">
        <v>6057.2219999999998</v>
      </c>
      <c r="D149">
        <f t="shared" si="6"/>
        <v>6.0572219999999994</v>
      </c>
      <c r="E149" s="19">
        <f t="shared" si="7"/>
        <v>238.47283013999996</v>
      </c>
      <c r="J149" s="22" t="str">
        <f t="shared" si="5"/>
        <v/>
      </c>
    </row>
    <row r="150" spans="1:10" x14ac:dyDescent="0.15">
      <c r="A150" s="2" t="s">
        <v>340</v>
      </c>
      <c r="B150" s="2" t="s">
        <v>129</v>
      </c>
      <c r="C150" s="3">
        <v>4952.7849999999999</v>
      </c>
      <c r="D150">
        <f t="shared" si="6"/>
        <v>4.9527849999999995</v>
      </c>
      <c r="E150" s="19">
        <f t="shared" si="7"/>
        <v>194.99114544999998</v>
      </c>
      <c r="J150" s="22" t="str">
        <f t="shared" si="5"/>
        <v/>
      </c>
    </row>
    <row r="151" spans="1:10" x14ac:dyDescent="0.15">
      <c r="A151" s="2" t="s">
        <v>341</v>
      </c>
      <c r="B151" s="2" t="s">
        <v>130</v>
      </c>
      <c r="C151" s="3">
        <v>4592.857</v>
      </c>
      <c r="D151">
        <f t="shared" si="6"/>
        <v>4.5928570000000004</v>
      </c>
      <c r="E151" s="19">
        <f t="shared" si="7"/>
        <v>180.82078009</v>
      </c>
      <c r="J151" s="22" t="str">
        <f t="shared" si="5"/>
        <v/>
      </c>
    </row>
    <row r="152" spans="1:10" x14ac:dyDescent="0.15">
      <c r="A152" s="2" t="s">
        <v>342</v>
      </c>
      <c r="B152" s="2" t="s">
        <v>131</v>
      </c>
      <c r="C152" s="3">
        <v>4481.299</v>
      </c>
      <c r="D152">
        <f t="shared" si="6"/>
        <v>4.4812989999999999</v>
      </c>
      <c r="E152" s="19">
        <f t="shared" si="7"/>
        <v>176.42874162999999</v>
      </c>
      <c r="J152" s="22" t="str">
        <f t="shared" si="5"/>
        <v/>
      </c>
    </row>
    <row r="153" spans="1:10" x14ac:dyDescent="0.15">
      <c r="A153" s="2" t="s">
        <v>343</v>
      </c>
      <c r="B153" s="2" t="s">
        <v>132</v>
      </c>
      <c r="C153" s="3">
        <v>3799.873</v>
      </c>
      <c r="D153">
        <f t="shared" si="6"/>
        <v>3.7998729999999998</v>
      </c>
      <c r="E153" s="19">
        <f t="shared" si="7"/>
        <v>149.60100000999998</v>
      </c>
      <c r="J153" s="22" t="str">
        <f t="shared" si="5"/>
        <v/>
      </c>
    </row>
    <row r="154" spans="1:10" x14ac:dyDescent="0.15">
      <c r="A154" s="2" t="s">
        <v>344</v>
      </c>
      <c r="B154" s="2" t="s">
        <v>133</v>
      </c>
      <c r="C154" s="3">
        <v>3680.1109999999999</v>
      </c>
      <c r="D154">
        <f t="shared" si="6"/>
        <v>3.6801109999999997</v>
      </c>
      <c r="E154" s="19">
        <f t="shared" si="7"/>
        <v>144.88597006999998</v>
      </c>
      <c r="J154" s="22" t="str">
        <f t="shared" si="5"/>
        <v/>
      </c>
    </row>
    <row r="155" spans="1:10" x14ac:dyDescent="0.15">
      <c r="A155" s="2" t="s">
        <v>345</v>
      </c>
      <c r="B155" s="2" t="s">
        <v>134</v>
      </c>
      <c r="C155" s="3">
        <v>4338.527</v>
      </c>
      <c r="D155">
        <f t="shared" si="6"/>
        <v>4.338527</v>
      </c>
      <c r="E155" s="19">
        <f t="shared" si="7"/>
        <v>170.80780798999999</v>
      </c>
      <c r="J155" s="22" t="str">
        <f t="shared" si="5"/>
        <v/>
      </c>
    </row>
    <row r="156" spans="1:10" x14ac:dyDescent="0.15">
      <c r="A156" s="2" t="s">
        <v>346</v>
      </c>
      <c r="B156" s="2" t="s">
        <v>135</v>
      </c>
      <c r="C156" s="3">
        <v>5800.991</v>
      </c>
      <c r="D156">
        <f t="shared" si="6"/>
        <v>5.8009909999999998</v>
      </c>
      <c r="E156" s="19">
        <f t="shared" si="7"/>
        <v>228.38501566999997</v>
      </c>
      <c r="J156" s="22" t="str">
        <f t="shared" si="5"/>
        <v/>
      </c>
    </row>
    <row r="157" spans="1:10" x14ac:dyDescent="0.15">
      <c r="A157" s="2" t="s">
        <v>347</v>
      </c>
      <c r="B157" s="2" t="s">
        <v>136</v>
      </c>
      <c r="C157" s="3">
        <v>5484.7129999999997</v>
      </c>
      <c r="D157">
        <f t="shared" si="6"/>
        <v>5.4847130000000002</v>
      </c>
      <c r="E157" s="19">
        <f t="shared" si="7"/>
        <v>215.93315081</v>
      </c>
      <c r="J157" s="22" t="str">
        <f t="shared" si="5"/>
        <v/>
      </c>
    </row>
    <row r="158" spans="1:10" x14ac:dyDescent="0.15">
      <c r="A158" s="15" t="s">
        <v>447</v>
      </c>
      <c r="B158" s="16"/>
      <c r="C158" s="16"/>
      <c r="D158">
        <f t="shared" si="6"/>
        <v>0</v>
      </c>
      <c r="E158" s="19">
        <f t="shared" si="7"/>
        <v>0</v>
      </c>
      <c r="J158" s="22" t="str">
        <f t="shared" si="5"/>
        <v/>
      </c>
    </row>
    <row r="159" spans="1:10" x14ac:dyDescent="0.15">
      <c r="A159" s="2" t="s">
        <v>359</v>
      </c>
      <c r="B159" s="2" t="s">
        <v>479</v>
      </c>
      <c r="C159" s="3">
        <v>4675.7089999999998</v>
      </c>
      <c r="D159">
        <f t="shared" ref="D159:D177" si="9">C159/1000</f>
        <v>4.6757089999999994</v>
      </c>
      <c r="E159" s="19">
        <f t="shared" ref="E159:E177" si="10">D159*39.37</f>
        <v>184.08266332999997</v>
      </c>
      <c r="F159" s="19">
        <v>518</v>
      </c>
      <c r="G159" s="23">
        <f>F159+E159</f>
        <v>702.08266332999995</v>
      </c>
      <c r="J159" s="22" t="str">
        <f t="shared" si="5"/>
        <v>702.08266333</v>
      </c>
    </row>
    <row r="160" spans="1:10" x14ac:dyDescent="0.15">
      <c r="A160" s="2" t="s">
        <v>353</v>
      </c>
      <c r="B160" s="2" t="s">
        <v>475</v>
      </c>
      <c r="C160" s="3">
        <v>4185.8190000000004</v>
      </c>
      <c r="D160">
        <f t="shared" si="9"/>
        <v>4.1858190000000004</v>
      </c>
      <c r="E160" s="19">
        <f t="shared" si="10"/>
        <v>164.79569402999999</v>
      </c>
      <c r="F160" s="19">
        <v>625.09</v>
      </c>
      <c r="G160" s="23">
        <f>F160+E160</f>
        <v>789.88569402999997</v>
      </c>
      <c r="J160" s="22" t="str">
        <f t="shared" si="5"/>
        <v>789.88569403</v>
      </c>
    </row>
    <row r="161" spans="1:10" x14ac:dyDescent="0.15">
      <c r="A161" s="2" t="s">
        <v>350</v>
      </c>
      <c r="B161" s="2" t="s">
        <v>471</v>
      </c>
      <c r="C161" s="3">
        <v>4397.4480000000003</v>
      </c>
      <c r="D161">
        <f t="shared" si="9"/>
        <v>4.3974480000000007</v>
      </c>
      <c r="E161" s="19">
        <f t="shared" si="10"/>
        <v>173.12752776000002</v>
      </c>
      <c r="F161" s="19">
        <v>619</v>
      </c>
      <c r="G161" s="23">
        <f>F161+E161</f>
        <v>792.12752776000002</v>
      </c>
      <c r="J161" s="22" t="str">
        <f t="shared" si="5"/>
        <v>792.12752776</v>
      </c>
    </row>
    <row r="162" spans="1:10" x14ac:dyDescent="0.15">
      <c r="A162" s="2" t="s">
        <v>349</v>
      </c>
      <c r="B162" s="2" t="s">
        <v>470</v>
      </c>
      <c r="C162" s="3">
        <v>1965.7750000000001</v>
      </c>
      <c r="D162">
        <f t="shared" si="9"/>
        <v>1.9657750000000001</v>
      </c>
      <c r="E162" s="19">
        <f t="shared" si="10"/>
        <v>77.392561749999999</v>
      </c>
      <c r="F162" s="19">
        <v>694</v>
      </c>
      <c r="G162" s="23">
        <f>F162+E162</f>
        <v>771.39256175000003</v>
      </c>
      <c r="J162" s="22" t="str">
        <f t="shared" si="5"/>
        <v>771.39256175</v>
      </c>
    </row>
    <row r="163" spans="1:10" s="13" customFormat="1" x14ac:dyDescent="0.15">
      <c r="A163" s="10" t="s">
        <v>356</v>
      </c>
      <c r="B163" s="11" t="s">
        <v>486</v>
      </c>
      <c r="C163" s="12">
        <v>3503.3069999999998</v>
      </c>
      <c r="D163" s="13">
        <f t="shared" si="9"/>
        <v>3.5033069999999999</v>
      </c>
      <c r="E163" s="20">
        <f t="shared" si="10"/>
        <v>137.92519658999998</v>
      </c>
      <c r="F163" s="19">
        <v>544.62</v>
      </c>
      <c r="G163" s="23">
        <f>F163+E163</f>
        <v>682.54519658999993</v>
      </c>
      <c r="J163" s="22" t="str">
        <f t="shared" si="5"/>
        <v>682.54519659</v>
      </c>
    </row>
    <row r="164" spans="1:10" s="13" customFormat="1" x14ac:dyDescent="0.15">
      <c r="A164" s="11" t="s">
        <v>355</v>
      </c>
      <c r="B164" s="11" t="s">
        <v>487</v>
      </c>
      <c r="C164" s="12">
        <v>4339.6360000000004</v>
      </c>
      <c r="D164" s="13">
        <f t="shared" si="9"/>
        <v>4.3396360000000005</v>
      </c>
      <c r="E164" s="20">
        <f t="shared" si="10"/>
        <v>170.85146932000001</v>
      </c>
      <c r="F164" s="19">
        <v>526.29</v>
      </c>
      <c r="G164" s="23">
        <f t="shared" ref="G164:G177" si="11">F164+E164</f>
        <v>697.14146931999994</v>
      </c>
      <c r="J164" s="22" t="str">
        <f t="shared" si="5"/>
        <v>697.14146932</v>
      </c>
    </row>
    <row r="165" spans="1:10" x14ac:dyDescent="0.15">
      <c r="A165" s="2" t="s">
        <v>363</v>
      </c>
      <c r="B165" s="2" t="s">
        <v>485</v>
      </c>
      <c r="C165" s="3">
        <v>4063.7469999999998</v>
      </c>
      <c r="D165">
        <f t="shared" si="9"/>
        <v>4.0637470000000002</v>
      </c>
      <c r="E165" s="19">
        <f t="shared" si="10"/>
        <v>159.98971939</v>
      </c>
      <c r="F165" s="19">
        <v>598</v>
      </c>
      <c r="G165" s="23">
        <f t="shared" si="11"/>
        <v>757.98971939</v>
      </c>
      <c r="J165" s="22" t="str">
        <f t="shared" si="5"/>
        <v>757.98971939</v>
      </c>
    </row>
    <row r="166" spans="1:10" x14ac:dyDescent="0.15">
      <c r="A166" s="2" t="s">
        <v>351</v>
      </c>
      <c r="B166" s="2" t="s">
        <v>473</v>
      </c>
      <c r="C166" s="3">
        <v>2727.8209999999999</v>
      </c>
      <c r="D166">
        <f t="shared" si="9"/>
        <v>2.7278210000000001</v>
      </c>
      <c r="E166" s="19">
        <f t="shared" si="10"/>
        <v>107.39431277</v>
      </c>
      <c r="F166" s="19">
        <v>656.71</v>
      </c>
      <c r="G166" s="23">
        <f t="shared" si="11"/>
        <v>764.10431276999998</v>
      </c>
      <c r="J166" s="22" t="str">
        <f t="shared" si="5"/>
        <v>764.10431277</v>
      </c>
    </row>
    <row r="167" spans="1:10" x14ac:dyDescent="0.15">
      <c r="A167" s="2" t="s">
        <v>352</v>
      </c>
      <c r="B167" s="2" t="s">
        <v>474</v>
      </c>
      <c r="C167" s="3">
        <v>3454.8209999999999</v>
      </c>
      <c r="D167">
        <f t="shared" si="9"/>
        <v>3.4548209999999999</v>
      </c>
      <c r="E167" s="19">
        <f t="shared" si="10"/>
        <v>136.01630276999998</v>
      </c>
      <c r="F167" s="19">
        <v>627.71</v>
      </c>
      <c r="G167" s="23">
        <f t="shared" si="11"/>
        <v>763.72630277000007</v>
      </c>
      <c r="J167" s="22" t="str">
        <f t="shared" si="5"/>
        <v>763.72630277</v>
      </c>
    </row>
    <row r="168" spans="1:10" x14ac:dyDescent="0.15">
      <c r="A168" s="2" t="s">
        <v>489</v>
      </c>
      <c r="B168" s="2" t="s">
        <v>481</v>
      </c>
      <c r="C168" s="3">
        <v>3783.4520000000002</v>
      </c>
      <c r="D168">
        <f t="shared" si="9"/>
        <v>3.783452</v>
      </c>
      <c r="E168" s="19">
        <f t="shared" si="10"/>
        <v>148.95450524</v>
      </c>
      <c r="F168" s="19">
        <v>607</v>
      </c>
      <c r="G168" s="23">
        <f t="shared" si="11"/>
        <v>755.95450524</v>
      </c>
      <c r="J168" s="22" t="str">
        <f t="shared" si="5"/>
        <v>755.95450524</v>
      </c>
    </row>
    <row r="169" spans="1:10" x14ac:dyDescent="0.15">
      <c r="A169" s="2" t="s">
        <v>360</v>
      </c>
      <c r="B169" s="2" t="s">
        <v>482</v>
      </c>
      <c r="C169" s="3">
        <v>2295.7660000000001</v>
      </c>
      <c r="D169">
        <f t="shared" si="9"/>
        <v>2.295766</v>
      </c>
      <c r="E169" s="19">
        <f t="shared" si="10"/>
        <v>90.384307419999999</v>
      </c>
      <c r="F169" s="19">
        <v>652</v>
      </c>
      <c r="G169" s="23">
        <f t="shared" si="11"/>
        <v>742.38430742000003</v>
      </c>
      <c r="J169" s="22" t="str">
        <f t="shared" si="5"/>
        <v>742.38430742</v>
      </c>
    </row>
    <row r="170" spans="1:10" x14ac:dyDescent="0.15">
      <c r="A170" s="2" t="s">
        <v>488</v>
      </c>
      <c r="B170" s="2" t="s">
        <v>472</v>
      </c>
      <c r="C170" s="3">
        <v>2387.8960000000002</v>
      </c>
      <c r="D170">
        <f t="shared" si="9"/>
        <v>2.387896</v>
      </c>
      <c r="E170" s="19">
        <f t="shared" si="10"/>
        <v>94.011465520000002</v>
      </c>
      <c r="F170" s="19">
        <v>691.22</v>
      </c>
      <c r="G170" s="23">
        <f t="shared" si="11"/>
        <v>785.23146552000003</v>
      </c>
      <c r="J170" s="22" t="str">
        <f t="shared" si="5"/>
        <v>785.23146552</v>
      </c>
    </row>
    <row r="171" spans="1:10" x14ac:dyDescent="0.15">
      <c r="A171" s="2" t="s">
        <v>354</v>
      </c>
      <c r="B171" s="2" t="s">
        <v>476</v>
      </c>
      <c r="C171" s="3">
        <v>3173.703</v>
      </c>
      <c r="D171">
        <f t="shared" si="9"/>
        <v>3.1737030000000002</v>
      </c>
      <c r="E171" s="19">
        <f t="shared" si="10"/>
        <v>124.94868710999999</v>
      </c>
      <c r="F171" s="19">
        <v>643.6</v>
      </c>
      <c r="G171" s="23">
        <f t="shared" si="11"/>
        <v>768.54868711000006</v>
      </c>
      <c r="J171" s="22" t="str">
        <f t="shared" si="5"/>
        <v>768.54868711</v>
      </c>
    </row>
    <row r="172" spans="1:10" x14ac:dyDescent="0.15">
      <c r="A172" s="2" t="s">
        <v>362</v>
      </c>
      <c r="B172" s="2" t="s">
        <v>484</v>
      </c>
      <c r="C172" s="3">
        <v>4120.1149999999998</v>
      </c>
      <c r="D172">
        <f t="shared" si="9"/>
        <v>4.1201150000000002</v>
      </c>
      <c r="E172" s="19">
        <f t="shared" si="10"/>
        <v>162.20892755</v>
      </c>
      <c r="F172" s="19">
        <v>523</v>
      </c>
      <c r="G172" s="23">
        <f t="shared" si="11"/>
        <v>685.20892755</v>
      </c>
      <c r="J172" s="22" t="str">
        <f t="shared" si="5"/>
        <v>685.20892755</v>
      </c>
    </row>
    <row r="173" spans="1:10" x14ac:dyDescent="0.15">
      <c r="A173" s="2" t="s">
        <v>357</v>
      </c>
      <c r="B173" s="2" t="s">
        <v>477</v>
      </c>
      <c r="C173" s="3">
        <v>3922.6129999999998</v>
      </c>
      <c r="D173">
        <f t="shared" si="9"/>
        <v>3.9226129999999997</v>
      </c>
      <c r="E173" s="19">
        <f t="shared" si="10"/>
        <v>154.43327380999997</v>
      </c>
      <c r="F173" s="19">
        <v>544</v>
      </c>
      <c r="G173" s="23">
        <f t="shared" si="11"/>
        <v>698.43327380999995</v>
      </c>
      <c r="J173" s="22" t="str">
        <f t="shared" si="5"/>
        <v>698.43327381</v>
      </c>
    </row>
    <row r="174" spans="1:10" x14ac:dyDescent="0.15">
      <c r="A174" s="2" t="s">
        <v>358</v>
      </c>
      <c r="B174" s="2" t="s">
        <v>478</v>
      </c>
      <c r="C174" s="3">
        <v>3147.0540000000001</v>
      </c>
      <c r="D174">
        <f t="shared" si="9"/>
        <v>3.1470540000000002</v>
      </c>
      <c r="E174" s="19">
        <f t="shared" si="10"/>
        <v>123.89951598</v>
      </c>
      <c r="F174" s="19">
        <v>573</v>
      </c>
      <c r="G174" s="23">
        <f t="shared" si="11"/>
        <v>696.89951598000005</v>
      </c>
      <c r="J174" s="22" t="str">
        <f t="shared" si="5"/>
        <v>696.89951598</v>
      </c>
    </row>
    <row r="175" spans="1:10" x14ac:dyDescent="0.15">
      <c r="A175" s="2" t="s">
        <v>361</v>
      </c>
      <c r="B175" s="2" t="s">
        <v>483</v>
      </c>
      <c r="C175" s="3">
        <v>4862.4380000000001</v>
      </c>
      <c r="D175">
        <f t="shared" si="9"/>
        <v>4.862438</v>
      </c>
      <c r="E175" s="19">
        <f t="shared" si="10"/>
        <v>191.43418405999998</v>
      </c>
      <c r="F175" s="19">
        <v>505</v>
      </c>
      <c r="G175" s="23">
        <f t="shared" si="11"/>
        <v>696.43418406000001</v>
      </c>
      <c r="J175" s="22" t="str">
        <f t="shared" si="5"/>
        <v>696.43418406</v>
      </c>
    </row>
    <row r="176" spans="1:10" x14ac:dyDescent="0.15">
      <c r="A176" s="2" t="s">
        <v>348</v>
      </c>
      <c r="B176" s="2" t="s">
        <v>469</v>
      </c>
      <c r="C176" s="3">
        <v>2614.9189999999999</v>
      </c>
      <c r="D176">
        <f t="shared" si="9"/>
        <v>2.614919</v>
      </c>
      <c r="E176" s="19">
        <f t="shared" si="10"/>
        <v>102.94936102999999</v>
      </c>
      <c r="F176" s="19">
        <v>592</v>
      </c>
      <c r="G176" s="23">
        <f t="shared" si="11"/>
        <v>694.94936102999998</v>
      </c>
      <c r="J176" s="22" t="str">
        <f t="shared" si="5"/>
        <v>694.94936103</v>
      </c>
    </row>
    <row r="177" spans="1:10" x14ac:dyDescent="0.15">
      <c r="A177" s="2" t="s">
        <v>490</v>
      </c>
      <c r="B177" s="2" t="s">
        <v>480</v>
      </c>
      <c r="C177" s="3">
        <v>3888.069</v>
      </c>
      <c r="D177">
        <f t="shared" si="9"/>
        <v>3.8880689999999998</v>
      </c>
      <c r="E177" s="19">
        <f t="shared" si="10"/>
        <v>153.07327652999999</v>
      </c>
      <c r="F177" s="19">
        <v>537</v>
      </c>
      <c r="G177" s="23">
        <f t="shared" si="11"/>
        <v>690.07327652999993</v>
      </c>
      <c r="J177" s="22" t="str">
        <f t="shared" ref="J177:J240" si="12">I177&amp;G177&amp;H177</f>
        <v>690.07327653</v>
      </c>
    </row>
    <row r="178" spans="1:10" x14ac:dyDescent="0.15">
      <c r="A178" s="15" t="s">
        <v>457</v>
      </c>
      <c r="B178" s="16"/>
      <c r="C178" s="16"/>
      <c r="D178">
        <f t="shared" si="6"/>
        <v>0</v>
      </c>
      <c r="E178" s="19">
        <f t="shared" si="7"/>
        <v>0</v>
      </c>
      <c r="J178" s="22" t="str">
        <f t="shared" si="12"/>
        <v/>
      </c>
    </row>
    <row r="179" spans="1:10" x14ac:dyDescent="0.15">
      <c r="A179" s="2" t="s">
        <v>364</v>
      </c>
      <c r="B179" s="2" t="s">
        <v>137</v>
      </c>
      <c r="C179" s="3">
        <v>4325.1689999999999</v>
      </c>
      <c r="D179">
        <f t="shared" si="6"/>
        <v>4.3251689999999998</v>
      </c>
      <c r="E179" s="19">
        <f t="shared" si="7"/>
        <v>170.28190352999999</v>
      </c>
      <c r="J179" s="22" t="str">
        <f t="shared" si="12"/>
        <v/>
      </c>
    </row>
    <row r="180" spans="1:10" x14ac:dyDescent="0.15">
      <c r="A180" s="2" t="s">
        <v>365</v>
      </c>
      <c r="B180" s="2" t="s">
        <v>138</v>
      </c>
      <c r="C180" s="3">
        <v>4154.3590000000004</v>
      </c>
      <c r="D180">
        <f t="shared" si="6"/>
        <v>4.1543590000000004</v>
      </c>
      <c r="E180" s="19">
        <f t="shared" si="7"/>
        <v>163.55711382999999</v>
      </c>
      <c r="J180" s="22" t="str">
        <f t="shared" si="12"/>
        <v/>
      </c>
    </row>
    <row r="181" spans="1:10" x14ac:dyDescent="0.15">
      <c r="A181" s="2" t="s">
        <v>366</v>
      </c>
      <c r="B181" s="2" t="s">
        <v>139</v>
      </c>
      <c r="C181" s="3">
        <v>2479.1930000000002</v>
      </c>
      <c r="D181">
        <f t="shared" si="6"/>
        <v>2.4791930000000004</v>
      </c>
      <c r="E181" s="19">
        <f t="shared" si="7"/>
        <v>97.605828410000015</v>
      </c>
      <c r="J181" s="22" t="str">
        <f t="shared" si="12"/>
        <v/>
      </c>
    </row>
    <row r="182" spans="1:10" x14ac:dyDescent="0.15">
      <c r="A182" s="2" t="s">
        <v>367</v>
      </c>
      <c r="B182" s="2" t="s">
        <v>140</v>
      </c>
      <c r="C182" s="3">
        <v>1171.27</v>
      </c>
      <c r="D182">
        <f t="shared" si="6"/>
        <v>1.17127</v>
      </c>
      <c r="E182" s="19">
        <f t="shared" si="7"/>
        <v>46.112899899999995</v>
      </c>
      <c r="J182" s="22" t="str">
        <f t="shared" si="12"/>
        <v/>
      </c>
    </row>
    <row r="183" spans="1:10" x14ac:dyDescent="0.15">
      <c r="A183" s="15" t="s">
        <v>446</v>
      </c>
      <c r="B183" s="16"/>
      <c r="C183" s="16"/>
      <c r="D183">
        <f t="shared" ref="D183:D246" si="13">C183/1000</f>
        <v>0</v>
      </c>
      <c r="E183" s="19">
        <f t="shared" ref="E183:E246" si="14">D183*39.37</f>
        <v>0</v>
      </c>
      <c r="J183" s="22" t="str">
        <f t="shared" si="12"/>
        <v/>
      </c>
    </row>
    <row r="184" spans="1:10" x14ac:dyDescent="0.15">
      <c r="A184" s="2" t="s">
        <v>368</v>
      </c>
      <c r="B184" s="2" t="s">
        <v>141</v>
      </c>
      <c r="C184" s="3">
        <v>2574.0419999999999</v>
      </c>
      <c r="D184">
        <f t="shared" si="13"/>
        <v>2.5740419999999999</v>
      </c>
      <c r="E184" s="19">
        <f t="shared" si="14"/>
        <v>101.34003353999999</v>
      </c>
      <c r="F184" s="19">
        <v>1671.11</v>
      </c>
      <c r="J184" s="22" t="str">
        <f t="shared" si="12"/>
        <v/>
      </c>
    </row>
    <row r="185" spans="1:10" x14ac:dyDescent="0.15">
      <c r="A185" s="2" t="s">
        <v>369</v>
      </c>
      <c r="B185" s="2" t="s">
        <v>142</v>
      </c>
      <c r="C185" s="3">
        <v>3818.7240000000002</v>
      </c>
      <c r="D185">
        <f t="shared" si="13"/>
        <v>3.818724</v>
      </c>
      <c r="E185" s="19">
        <f t="shared" si="14"/>
        <v>150.34316387999999</v>
      </c>
      <c r="F185" s="19">
        <v>809.16</v>
      </c>
      <c r="J185" s="22" t="str">
        <f t="shared" si="12"/>
        <v/>
      </c>
    </row>
    <row r="186" spans="1:10" x14ac:dyDescent="0.15">
      <c r="A186" s="2" t="s">
        <v>370</v>
      </c>
      <c r="B186" s="2" t="s">
        <v>143</v>
      </c>
      <c r="C186" s="3">
        <v>1763.028</v>
      </c>
      <c r="D186">
        <f t="shared" si="13"/>
        <v>1.763028</v>
      </c>
      <c r="E186" s="19">
        <f t="shared" si="14"/>
        <v>69.410412359999995</v>
      </c>
      <c r="F186" s="19">
        <v>915.42</v>
      </c>
      <c r="J186" s="22" t="str">
        <f t="shared" si="12"/>
        <v/>
      </c>
    </row>
    <row r="187" spans="1:10" x14ac:dyDescent="0.15">
      <c r="A187" s="2" t="s">
        <v>371</v>
      </c>
      <c r="B187" s="2" t="s">
        <v>467</v>
      </c>
      <c r="C187" s="3">
        <v>3015.1750000000002</v>
      </c>
      <c r="D187">
        <f t="shared" si="13"/>
        <v>3.0151750000000002</v>
      </c>
      <c r="E187" s="19">
        <f t="shared" si="14"/>
        <v>118.70743974999999</v>
      </c>
      <c r="F187" s="19">
        <v>1530</v>
      </c>
      <c r="G187" s="23">
        <f>F187+E187</f>
        <v>1648.70743975</v>
      </c>
      <c r="J187" s="22" t="str">
        <f t="shared" si="12"/>
        <v>1648.70743975</v>
      </c>
    </row>
    <row r="188" spans="1:10" s="13" customFormat="1" x14ac:dyDescent="0.15">
      <c r="A188" s="10" t="s">
        <v>372</v>
      </c>
      <c r="B188" s="11" t="s">
        <v>144</v>
      </c>
      <c r="C188" s="12">
        <v>3905.3330000000001</v>
      </c>
      <c r="D188" s="13">
        <f t="shared" si="13"/>
        <v>3.9053330000000002</v>
      </c>
      <c r="E188" s="20">
        <f t="shared" si="14"/>
        <v>153.75296021</v>
      </c>
      <c r="F188" s="20">
        <v>1506</v>
      </c>
      <c r="G188" s="23">
        <f t="shared" ref="G188:G203" si="15">F188+E188</f>
        <v>1659.7529602100001</v>
      </c>
      <c r="J188" s="22" t="str">
        <f t="shared" si="12"/>
        <v>1659.75296021</v>
      </c>
    </row>
    <row r="189" spans="1:10" s="13" customFormat="1" x14ac:dyDescent="0.15">
      <c r="A189" s="10" t="s">
        <v>373</v>
      </c>
      <c r="B189" s="11" t="s">
        <v>145</v>
      </c>
      <c r="C189" s="12">
        <v>4418.1009999999997</v>
      </c>
      <c r="D189" s="13">
        <f t="shared" si="13"/>
        <v>4.4181010000000001</v>
      </c>
      <c r="E189" s="20">
        <f t="shared" si="14"/>
        <v>173.94063636999999</v>
      </c>
      <c r="F189" s="20">
        <v>1481</v>
      </c>
      <c r="G189" s="23">
        <f t="shared" si="15"/>
        <v>1654.94063637</v>
      </c>
      <c r="H189" s="13">
        <f>144+1340</f>
        <v>1484</v>
      </c>
      <c r="J189" s="22" t="str">
        <f t="shared" si="12"/>
        <v>1654.940636371484</v>
      </c>
    </row>
    <row r="190" spans="1:10" s="13" customFormat="1" x14ac:dyDescent="0.15">
      <c r="A190" s="10" t="s">
        <v>374</v>
      </c>
      <c r="B190" s="11" t="s">
        <v>146</v>
      </c>
      <c r="C190" s="12">
        <v>1539.7819999999999</v>
      </c>
      <c r="D190" s="13">
        <f t="shared" si="13"/>
        <v>1.539782</v>
      </c>
      <c r="E190" s="20">
        <f t="shared" si="14"/>
        <v>60.621217339999994</v>
      </c>
      <c r="F190" s="20">
        <v>1574</v>
      </c>
      <c r="G190" s="23">
        <f t="shared" si="15"/>
        <v>1634.6212173399999</v>
      </c>
      <c r="J190" s="22" t="str">
        <f t="shared" si="12"/>
        <v>1634.62121734</v>
      </c>
    </row>
    <row r="191" spans="1:10" s="9" customFormat="1" x14ac:dyDescent="0.15">
      <c r="A191" s="7" t="s">
        <v>375</v>
      </c>
      <c r="B191" s="8" t="s">
        <v>147</v>
      </c>
      <c r="C191" s="14">
        <v>3802.0790000000002</v>
      </c>
      <c r="D191" s="9">
        <f t="shared" si="13"/>
        <v>3.802079</v>
      </c>
      <c r="E191" s="21">
        <f t="shared" si="14"/>
        <v>149.68785022999998</v>
      </c>
      <c r="F191" s="21">
        <v>1512</v>
      </c>
      <c r="G191" s="23">
        <f t="shared" si="15"/>
        <v>1661.6878502300001</v>
      </c>
      <c r="H191" s="9">
        <f>1512-164</f>
        <v>1348</v>
      </c>
      <c r="J191" s="22" t="str">
        <f t="shared" si="12"/>
        <v>1661.687850231348</v>
      </c>
    </row>
    <row r="192" spans="1:10" s="13" customFormat="1" x14ac:dyDescent="0.15">
      <c r="A192" s="10" t="s">
        <v>376</v>
      </c>
      <c r="B192" s="11" t="s">
        <v>468</v>
      </c>
      <c r="C192" s="12">
        <v>5114.5910000000003</v>
      </c>
      <c r="D192" s="13">
        <f t="shared" si="13"/>
        <v>5.1145910000000008</v>
      </c>
      <c r="E192" s="20">
        <f t="shared" si="14"/>
        <v>201.36144767000002</v>
      </c>
      <c r="F192" s="20">
        <v>1460.94</v>
      </c>
      <c r="G192" s="23">
        <f t="shared" si="15"/>
        <v>1662.30144767</v>
      </c>
      <c r="J192" s="22" t="str">
        <f t="shared" si="12"/>
        <v>1662.30144767</v>
      </c>
    </row>
    <row r="193" spans="1:10" s="13" customFormat="1" x14ac:dyDescent="0.15">
      <c r="A193" s="10" t="s">
        <v>377</v>
      </c>
      <c r="B193" s="11" t="s">
        <v>148</v>
      </c>
      <c r="C193" s="12">
        <v>2884.7979999999998</v>
      </c>
      <c r="D193" s="13">
        <f t="shared" si="13"/>
        <v>2.884798</v>
      </c>
      <c r="E193" s="20">
        <f t="shared" si="14"/>
        <v>113.57449725999999</v>
      </c>
      <c r="F193" s="20">
        <v>1541</v>
      </c>
      <c r="G193" s="23">
        <f t="shared" si="15"/>
        <v>1654.57449726</v>
      </c>
      <c r="J193" s="22" t="str">
        <f t="shared" si="12"/>
        <v>1654.57449726</v>
      </c>
    </row>
    <row r="194" spans="1:10" s="13" customFormat="1" x14ac:dyDescent="0.15">
      <c r="A194" s="10" t="s">
        <v>378</v>
      </c>
      <c r="B194" s="11" t="s">
        <v>149</v>
      </c>
      <c r="C194" s="12">
        <v>4604.3980000000001</v>
      </c>
      <c r="D194" s="13">
        <f t="shared" si="13"/>
        <v>4.6043979999999998</v>
      </c>
      <c r="E194" s="20">
        <f t="shared" si="14"/>
        <v>181.27514925999998</v>
      </c>
      <c r="F194" s="20">
        <v>1464</v>
      </c>
      <c r="G194" s="23">
        <f t="shared" si="15"/>
        <v>1645.27514926</v>
      </c>
      <c r="J194" s="22" t="str">
        <f t="shared" si="12"/>
        <v>1645.27514926</v>
      </c>
    </row>
    <row r="195" spans="1:10" s="13" customFormat="1" x14ac:dyDescent="0.15">
      <c r="A195" s="10" t="s">
        <v>379</v>
      </c>
      <c r="B195" s="11" t="s">
        <v>150</v>
      </c>
      <c r="C195" s="12">
        <v>5244.4790000000003</v>
      </c>
      <c r="D195" s="13">
        <f t="shared" si="13"/>
        <v>5.2444790000000001</v>
      </c>
      <c r="E195" s="20">
        <f t="shared" si="14"/>
        <v>206.47513823</v>
      </c>
      <c r="F195" s="20">
        <v>1452.81</v>
      </c>
      <c r="G195" s="23">
        <f t="shared" si="15"/>
        <v>1659.28513823</v>
      </c>
      <c r="J195" s="22" t="str">
        <f t="shared" si="12"/>
        <v>1659.28513823</v>
      </c>
    </row>
    <row r="196" spans="1:10" x14ac:dyDescent="0.15">
      <c r="A196" s="2" t="s">
        <v>380</v>
      </c>
      <c r="B196" s="2" t="s">
        <v>151</v>
      </c>
      <c r="C196" s="3">
        <v>3159.9459999999999</v>
      </c>
      <c r="D196">
        <f t="shared" si="13"/>
        <v>3.1599459999999997</v>
      </c>
      <c r="E196" s="19">
        <f t="shared" si="14"/>
        <v>124.40707401999998</v>
      </c>
      <c r="F196" s="19">
        <v>1507</v>
      </c>
      <c r="G196" s="23">
        <f t="shared" si="15"/>
        <v>1631.40707402</v>
      </c>
      <c r="J196" s="22" t="str">
        <f t="shared" si="12"/>
        <v>1631.40707402</v>
      </c>
    </row>
    <row r="197" spans="1:10" s="13" customFormat="1" x14ac:dyDescent="0.15">
      <c r="A197" s="10" t="s">
        <v>381</v>
      </c>
      <c r="B197" s="11" t="s">
        <v>152</v>
      </c>
      <c r="C197" s="12">
        <v>1987.82</v>
      </c>
      <c r="D197" s="13">
        <f t="shared" si="13"/>
        <v>1.9878199999999999</v>
      </c>
      <c r="E197" s="20">
        <f t="shared" si="14"/>
        <v>78.260473399999995</v>
      </c>
      <c r="F197" s="20">
        <v>1566</v>
      </c>
      <c r="G197" s="23">
        <f t="shared" si="15"/>
        <v>1644.2604733999999</v>
      </c>
      <c r="J197" s="22" t="str">
        <f t="shared" si="12"/>
        <v>1644.2604734</v>
      </c>
    </row>
    <row r="198" spans="1:10" s="13" customFormat="1" x14ac:dyDescent="0.15">
      <c r="A198" s="10" t="s">
        <v>382</v>
      </c>
      <c r="B198" s="11" t="s">
        <v>153</v>
      </c>
      <c r="C198" s="12">
        <v>2237.0720000000001</v>
      </c>
      <c r="D198" s="13">
        <f t="shared" si="13"/>
        <v>2.2370719999999999</v>
      </c>
      <c r="E198" s="20">
        <f t="shared" si="14"/>
        <v>88.073524639999988</v>
      </c>
      <c r="F198" s="20">
        <v>1561</v>
      </c>
      <c r="G198" s="23">
        <f t="shared" si="15"/>
        <v>1649.07352464</v>
      </c>
      <c r="J198" s="22" t="str">
        <f t="shared" si="12"/>
        <v>1649.07352464</v>
      </c>
    </row>
    <row r="199" spans="1:10" s="13" customFormat="1" x14ac:dyDescent="0.15">
      <c r="A199" s="10" t="s">
        <v>383</v>
      </c>
      <c r="B199" s="11" t="s">
        <v>154</v>
      </c>
      <c r="C199" s="12">
        <v>3704.9740000000002</v>
      </c>
      <c r="D199" s="13">
        <f t="shared" si="13"/>
        <v>3.704974</v>
      </c>
      <c r="E199" s="20">
        <f t="shared" si="14"/>
        <v>145.86482637999998</v>
      </c>
      <c r="F199" s="20">
        <v>1485</v>
      </c>
      <c r="G199" s="23">
        <f t="shared" si="15"/>
        <v>1630.8648263800001</v>
      </c>
      <c r="J199" s="22" t="str">
        <f t="shared" si="12"/>
        <v>1630.86482638</v>
      </c>
    </row>
    <row r="200" spans="1:10" s="13" customFormat="1" x14ac:dyDescent="0.15">
      <c r="A200" s="10" t="s">
        <v>384</v>
      </c>
      <c r="B200" s="11" t="s">
        <v>155</v>
      </c>
      <c r="C200" s="12">
        <v>4488.6670000000004</v>
      </c>
      <c r="D200" s="13">
        <f t="shared" si="13"/>
        <v>4.4886670000000004</v>
      </c>
      <c r="E200" s="20">
        <f t="shared" si="14"/>
        <v>176.71881979</v>
      </c>
      <c r="F200" s="20">
        <v>1470.75</v>
      </c>
      <c r="G200" s="23">
        <f t="shared" si="15"/>
        <v>1647.46881979</v>
      </c>
      <c r="J200" s="22" t="str">
        <f t="shared" si="12"/>
        <v>1647.46881979</v>
      </c>
    </row>
    <row r="201" spans="1:10" s="13" customFormat="1" x14ac:dyDescent="0.15">
      <c r="A201" s="10" t="s">
        <v>385</v>
      </c>
      <c r="B201" s="11" t="s">
        <v>156</v>
      </c>
      <c r="C201" s="12">
        <v>2918.779</v>
      </c>
      <c r="D201" s="13">
        <f t="shared" si="13"/>
        <v>2.9187789999999998</v>
      </c>
      <c r="E201" s="20">
        <f t="shared" si="14"/>
        <v>114.91232922999998</v>
      </c>
      <c r="F201" s="20">
        <v>1516</v>
      </c>
      <c r="G201" s="23">
        <f t="shared" si="15"/>
        <v>1630.9123292300001</v>
      </c>
      <c r="J201" s="22" t="str">
        <f t="shared" si="12"/>
        <v>1630.91232923</v>
      </c>
    </row>
    <row r="202" spans="1:10" s="13" customFormat="1" x14ac:dyDescent="0.15">
      <c r="A202" s="10" t="s">
        <v>386</v>
      </c>
      <c r="B202" s="11" t="s">
        <v>157</v>
      </c>
      <c r="C202" s="12">
        <v>3229.8020000000001</v>
      </c>
      <c r="D202" s="13">
        <f t="shared" si="13"/>
        <v>3.2298020000000003</v>
      </c>
      <c r="E202" s="20">
        <f t="shared" si="14"/>
        <v>127.15730474</v>
      </c>
      <c r="F202" s="20">
        <v>1521</v>
      </c>
      <c r="G202" s="23">
        <f t="shared" si="15"/>
        <v>1648.15730474</v>
      </c>
      <c r="J202" s="22" t="str">
        <f t="shared" si="12"/>
        <v>1648.15730474</v>
      </c>
    </row>
    <row r="203" spans="1:10" x14ac:dyDescent="0.15">
      <c r="A203" s="2" t="s">
        <v>387</v>
      </c>
      <c r="B203" s="2" t="s">
        <v>158</v>
      </c>
      <c r="C203" s="3">
        <v>5674.7849999999999</v>
      </c>
      <c r="D203">
        <f t="shared" si="13"/>
        <v>5.674785</v>
      </c>
      <c r="E203" s="19">
        <f t="shared" si="14"/>
        <v>223.41628544999998</v>
      </c>
      <c r="F203" s="19">
        <v>1433</v>
      </c>
      <c r="G203" s="23">
        <f t="shared" si="15"/>
        <v>1656.41628545</v>
      </c>
      <c r="J203" s="22" t="str">
        <f t="shared" si="12"/>
        <v>1656.41628545</v>
      </c>
    </row>
    <row r="204" spans="1:10" x14ac:dyDescent="0.15">
      <c r="A204" s="15" t="s">
        <v>448</v>
      </c>
      <c r="B204" s="16"/>
      <c r="C204" s="16"/>
      <c r="D204">
        <f t="shared" si="13"/>
        <v>0</v>
      </c>
      <c r="E204" s="19">
        <f t="shared" si="14"/>
        <v>0</v>
      </c>
      <c r="J204" s="22" t="str">
        <f t="shared" si="12"/>
        <v/>
      </c>
    </row>
    <row r="205" spans="1:10" x14ac:dyDescent="0.15">
      <c r="A205" s="2" t="s">
        <v>388</v>
      </c>
      <c r="B205" s="2" t="s">
        <v>159</v>
      </c>
      <c r="C205" s="3">
        <v>2641.74</v>
      </c>
      <c r="D205">
        <f t="shared" si="13"/>
        <v>2.64174</v>
      </c>
      <c r="E205" s="19">
        <f t="shared" si="14"/>
        <v>104.00530379999999</v>
      </c>
      <c r="J205" s="22" t="str">
        <f t="shared" si="12"/>
        <v/>
      </c>
    </row>
    <row r="206" spans="1:10" x14ac:dyDescent="0.15">
      <c r="A206" s="2" t="s">
        <v>389</v>
      </c>
      <c r="B206" s="2" t="s">
        <v>160</v>
      </c>
      <c r="C206" s="3">
        <v>2596.0160000000001</v>
      </c>
      <c r="D206">
        <f t="shared" si="13"/>
        <v>2.5960160000000001</v>
      </c>
      <c r="E206" s="19">
        <f t="shared" si="14"/>
        <v>102.20514992</v>
      </c>
      <c r="J206" s="22" t="str">
        <f t="shared" si="12"/>
        <v/>
      </c>
    </row>
    <row r="207" spans="1:10" x14ac:dyDescent="0.15">
      <c r="A207" s="2" t="s">
        <v>390</v>
      </c>
      <c r="B207" s="2" t="s">
        <v>161</v>
      </c>
      <c r="C207" s="3">
        <v>1246.6279999999999</v>
      </c>
      <c r="D207">
        <f t="shared" si="13"/>
        <v>1.2466279999999998</v>
      </c>
      <c r="E207" s="19">
        <f t="shared" si="14"/>
        <v>49.079744359999992</v>
      </c>
      <c r="J207" s="22" t="str">
        <f t="shared" si="12"/>
        <v/>
      </c>
    </row>
    <row r="208" spans="1:10" x14ac:dyDescent="0.15">
      <c r="A208" s="2" t="s">
        <v>391</v>
      </c>
      <c r="B208" s="2" t="s">
        <v>162</v>
      </c>
      <c r="C208" s="3">
        <v>2977.5549999999998</v>
      </c>
      <c r="D208">
        <f t="shared" si="13"/>
        <v>2.9775549999999997</v>
      </c>
      <c r="E208" s="19">
        <f t="shared" si="14"/>
        <v>117.22634034999999</v>
      </c>
      <c r="J208" s="22" t="str">
        <f t="shared" si="12"/>
        <v/>
      </c>
    </row>
    <row r="209" spans="1:10" x14ac:dyDescent="0.15">
      <c r="A209" s="2" t="s">
        <v>392</v>
      </c>
      <c r="B209" s="2" t="s">
        <v>163</v>
      </c>
      <c r="C209" s="3">
        <v>3358.2739999999999</v>
      </c>
      <c r="D209">
        <f t="shared" si="13"/>
        <v>3.3582739999999998</v>
      </c>
      <c r="E209" s="19">
        <f t="shared" si="14"/>
        <v>132.21524737999999</v>
      </c>
      <c r="J209" s="22" t="str">
        <f t="shared" si="12"/>
        <v/>
      </c>
    </row>
    <row r="210" spans="1:10" x14ac:dyDescent="0.15">
      <c r="A210" s="2" t="s">
        <v>393</v>
      </c>
      <c r="B210" s="2" t="s">
        <v>164</v>
      </c>
      <c r="C210" s="3">
        <v>3577.422</v>
      </c>
      <c r="D210">
        <f t="shared" si="13"/>
        <v>3.5774219999999999</v>
      </c>
      <c r="E210" s="19">
        <f t="shared" si="14"/>
        <v>140.84310413999998</v>
      </c>
      <c r="J210" s="22" t="str">
        <f t="shared" si="12"/>
        <v/>
      </c>
    </row>
    <row r="211" spans="1:10" x14ac:dyDescent="0.15">
      <c r="A211" s="2" t="s">
        <v>394</v>
      </c>
      <c r="B211" s="2" t="s">
        <v>165</v>
      </c>
      <c r="C211" s="3">
        <v>4374.8119999999999</v>
      </c>
      <c r="D211">
        <f t="shared" si="13"/>
        <v>4.3748119999999995</v>
      </c>
      <c r="E211" s="19">
        <f t="shared" si="14"/>
        <v>172.23634843999997</v>
      </c>
      <c r="J211" s="22" t="str">
        <f t="shared" si="12"/>
        <v/>
      </c>
    </row>
    <row r="212" spans="1:10" x14ac:dyDescent="0.15">
      <c r="A212" s="2" t="s">
        <v>395</v>
      </c>
      <c r="B212" s="2" t="s">
        <v>166</v>
      </c>
      <c r="C212" s="3">
        <v>1268.972</v>
      </c>
      <c r="D212">
        <f t="shared" si="13"/>
        <v>1.268972</v>
      </c>
      <c r="E212" s="19">
        <f t="shared" si="14"/>
        <v>49.959427639999994</v>
      </c>
      <c r="J212" s="22" t="str">
        <f t="shared" si="12"/>
        <v/>
      </c>
    </row>
    <row r="213" spans="1:10" x14ac:dyDescent="0.15">
      <c r="A213" s="2" t="s">
        <v>396</v>
      </c>
      <c r="B213" s="2" t="s">
        <v>167</v>
      </c>
      <c r="C213" s="3">
        <v>1509.6590000000001</v>
      </c>
      <c r="D213">
        <f t="shared" si="13"/>
        <v>1.5096590000000001</v>
      </c>
      <c r="E213" s="19">
        <f t="shared" si="14"/>
        <v>59.435274829999997</v>
      </c>
      <c r="J213" s="22" t="str">
        <f t="shared" si="12"/>
        <v/>
      </c>
    </row>
    <row r="214" spans="1:10" x14ac:dyDescent="0.15">
      <c r="A214" s="2" t="s">
        <v>397</v>
      </c>
      <c r="B214" s="2" t="s">
        <v>168</v>
      </c>
      <c r="C214" s="3">
        <v>2162.7339999999999</v>
      </c>
      <c r="D214">
        <f t="shared" si="13"/>
        <v>2.1627339999999999</v>
      </c>
      <c r="E214" s="19">
        <f t="shared" si="14"/>
        <v>85.146837579999996</v>
      </c>
      <c r="J214" s="22" t="str">
        <f t="shared" si="12"/>
        <v/>
      </c>
    </row>
    <row r="215" spans="1:10" x14ac:dyDescent="0.15">
      <c r="A215" s="15" t="s">
        <v>449</v>
      </c>
      <c r="B215" s="16"/>
      <c r="C215" s="16"/>
      <c r="D215">
        <f t="shared" si="13"/>
        <v>0</v>
      </c>
      <c r="E215" s="19">
        <f t="shared" si="14"/>
        <v>0</v>
      </c>
      <c r="J215" s="22" t="str">
        <f t="shared" si="12"/>
        <v/>
      </c>
    </row>
    <row r="216" spans="1:10" x14ac:dyDescent="0.15">
      <c r="A216" s="2" t="s">
        <v>400</v>
      </c>
      <c r="B216" s="2" t="s">
        <v>171</v>
      </c>
      <c r="C216" s="3">
        <v>2464.3150000000001</v>
      </c>
      <c r="D216">
        <f t="shared" si="13"/>
        <v>2.464315</v>
      </c>
      <c r="E216" s="19">
        <f t="shared" si="14"/>
        <v>97.02008155</v>
      </c>
      <c r="F216" s="19">
        <v>1381.44</v>
      </c>
      <c r="G216" s="23">
        <f>F216+E216</f>
        <v>1478.46008155</v>
      </c>
      <c r="J216" s="22" t="str">
        <f t="shared" si="12"/>
        <v>1478.46008155</v>
      </c>
    </row>
    <row r="217" spans="1:10" x14ac:dyDescent="0.15">
      <c r="A217" s="2" t="s">
        <v>401</v>
      </c>
      <c r="B217" s="2" t="s">
        <v>172</v>
      </c>
      <c r="C217" s="3">
        <v>2506.951</v>
      </c>
      <c r="D217">
        <f t="shared" si="13"/>
        <v>2.5069509999999999</v>
      </c>
      <c r="E217" s="19">
        <f t="shared" si="14"/>
        <v>98.698660869999998</v>
      </c>
      <c r="F217" s="19">
        <v>1389.1</v>
      </c>
      <c r="G217" s="23">
        <f t="shared" ref="G217:G225" si="16">F217+E217</f>
        <v>1487.7986608699998</v>
      </c>
      <c r="J217" s="22" t="str">
        <f t="shared" si="12"/>
        <v>1487.79866087</v>
      </c>
    </row>
    <row r="218" spans="1:10" x14ac:dyDescent="0.15">
      <c r="A218" s="2" t="s">
        <v>402</v>
      </c>
      <c r="B218" s="2" t="s">
        <v>173</v>
      </c>
      <c r="C218" s="3">
        <v>2708.3809999999999</v>
      </c>
      <c r="D218">
        <f t="shared" si="13"/>
        <v>2.7083809999999997</v>
      </c>
      <c r="E218" s="19">
        <f t="shared" si="14"/>
        <v>106.62895996999998</v>
      </c>
      <c r="F218" s="19">
        <v>1329.89</v>
      </c>
      <c r="G218" s="23">
        <f t="shared" si="16"/>
        <v>1436.5189599700002</v>
      </c>
      <c r="J218" s="22" t="str">
        <f t="shared" si="12"/>
        <v>1436.51895997</v>
      </c>
    </row>
    <row r="219" spans="1:10" x14ac:dyDescent="0.15">
      <c r="A219" s="2" t="s">
        <v>403</v>
      </c>
      <c r="B219" s="2" t="s">
        <v>174</v>
      </c>
      <c r="C219" s="3">
        <v>2827.38</v>
      </c>
      <c r="D219">
        <f t="shared" si="13"/>
        <v>2.8273800000000002</v>
      </c>
      <c r="E219" s="19">
        <f t="shared" si="14"/>
        <v>111.3139506</v>
      </c>
      <c r="F219" s="19">
        <v>1320.29</v>
      </c>
      <c r="G219" s="23">
        <f t="shared" si="16"/>
        <v>1431.6039506</v>
      </c>
      <c r="J219" s="22" t="str">
        <f t="shared" si="12"/>
        <v>1431.6039506</v>
      </c>
    </row>
    <row r="220" spans="1:10" x14ac:dyDescent="0.15">
      <c r="A220" s="2" t="s">
        <v>404</v>
      </c>
      <c r="B220" s="2" t="s">
        <v>175</v>
      </c>
      <c r="C220" s="3">
        <v>4061.7640000000001</v>
      </c>
      <c r="D220">
        <f t="shared" si="13"/>
        <v>4.0617640000000002</v>
      </c>
      <c r="E220" s="19">
        <f t="shared" si="14"/>
        <v>159.91164867999998</v>
      </c>
      <c r="F220" s="19">
        <v>1316.87</v>
      </c>
      <c r="G220" s="23">
        <f t="shared" si="16"/>
        <v>1476.7816486799998</v>
      </c>
      <c r="J220" s="22" t="str">
        <f t="shared" si="12"/>
        <v>1476.78164868</v>
      </c>
    </row>
    <row r="221" spans="1:10" x14ac:dyDescent="0.15">
      <c r="A221" s="2" t="s">
        <v>405</v>
      </c>
      <c r="B221" s="2" t="s">
        <v>176</v>
      </c>
      <c r="C221" s="3">
        <v>4167.7430000000004</v>
      </c>
      <c r="D221">
        <f t="shared" si="13"/>
        <v>4.1677430000000006</v>
      </c>
      <c r="E221" s="19">
        <f t="shared" si="14"/>
        <v>164.08404191000002</v>
      </c>
      <c r="F221" s="19">
        <v>1314.06</v>
      </c>
      <c r="G221" s="23">
        <f t="shared" si="16"/>
        <v>1478.1440419099999</v>
      </c>
      <c r="J221" s="22" t="str">
        <f t="shared" si="12"/>
        <v>1478.14404191</v>
      </c>
    </row>
    <row r="222" spans="1:10" x14ac:dyDescent="0.15">
      <c r="A222" s="2" t="s">
        <v>406</v>
      </c>
      <c r="B222" s="2" t="s">
        <v>177</v>
      </c>
      <c r="C222" s="3">
        <v>3914.94</v>
      </c>
      <c r="D222">
        <f t="shared" si="13"/>
        <v>3.9149400000000001</v>
      </c>
      <c r="E222" s="19">
        <f t="shared" si="14"/>
        <v>154.13118779999999</v>
      </c>
      <c r="F222" s="19">
        <v>1318.01</v>
      </c>
      <c r="G222" s="23">
        <f t="shared" si="16"/>
        <v>1472.1411877999999</v>
      </c>
      <c r="J222" s="22" t="str">
        <f t="shared" si="12"/>
        <v>1472.1411878</v>
      </c>
    </row>
    <row r="223" spans="1:10" x14ac:dyDescent="0.15">
      <c r="A223" s="2" t="s">
        <v>407</v>
      </c>
      <c r="B223" s="2" t="s">
        <v>178</v>
      </c>
      <c r="C223" s="3">
        <v>4015.6210000000001</v>
      </c>
      <c r="D223">
        <f t="shared" si="13"/>
        <v>4.0156210000000003</v>
      </c>
      <c r="E223" s="19">
        <f t="shared" si="14"/>
        <v>158.09499876999999</v>
      </c>
      <c r="F223" s="19">
        <v>1319.29</v>
      </c>
      <c r="G223" s="23">
        <f t="shared" si="16"/>
        <v>1477.38499877</v>
      </c>
      <c r="J223" s="22" t="str">
        <f t="shared" si="12"/>
        <v>1477.38499877</v>
      </c>
    </row>
    <row r="224" spans="1:10" x14ac:dyDescent="0.15">
      <c r="A224" s="2" t="s">
        <v>408</v>
      </c>
      <c r="B224" s="2" t="s">
        <v>179</v>
      </c>
      <c r="C224" s="3">
        <v>5175.692</v>
      </c>
      <c r="D224">
        <f t="shared" si="13"/>
        <v>5.1756919999999997</v>
      </c>
      <c r="E224" s="19">
        <f t="shared" si="14"/>
        <v>203.76699403999999</v>
      </c>
      <c r="F224" s="19">
        <v>1271.5999999999999</v>
      </c>
      <c r="G224" s="23">
        <f t="shared" si="16"/>
        <v>1475.36699404</v>
      </c>
      <c r="J224" s="22" t="str">
        <f t="shared" si="12"/>
        <v>1475.36699404</v>
      </c>
    </row>
    <row r="225" spans="1:10" x14ac:dyDescent="0.15">
      <c r="A225" s="2" t="s">
        <v>409</v>
      </c>
      <c r="B225" s="2" t="s">
        <v>180</v>
      </c>
      <c r="C225" s="3">
        <v>5252.48</v>
      </c>
      <c r="D225">
        <f t="shared" si="13"/>
        <v>5.2524799999999994</v>
      </c>
      <c r="E225" s="19">
        <f t="shared" si="14"/>
        <v>206.79013759999995</v>
      </c>
      <c r="F225" s="19">
        <v>1268.6099999999999</v>
      </c>
      <c r="G225" s="23">
        <f t="shared" si="16"/>
        <v>1475.4001375999999</v>
      </c>
      <c r="J225" s="22" t="str">
        <f t="shared" si="12"/>
        <v>1475.4001376</v>
      </c>
    </row>
    <row r="226" spans="1:10" x14ac:dyDescent="0.15">
      <c r="A226" s="15" t="s">
        <v>450</v>
      </c>
      <c r="B226" s="16"/>
      <c r="C226" s="16"/>
      <c r="D226">
        <f t="shared" si="13"/>
        <v>0</v>
      </c>
      <c r="E226" s="19">
        <f t="shared" si="14"/>
        <v>0</v>
      </c>
      <c r="J226" s="22" t="str">
        <f t="shared" si="12"/>
        <v/>
      </c>
    </row>
    <row r="227" spans="1:10" x14ac:dyDescent="0.15">
      <c r="A227" s="2" t="s">
        <v>410</v>
      </c>
      <c r="B227" s="2" t="s">
        <v>181</v>
      </c>
      <c r="C227" s="3">
        <v>3824.576</v>
      </c>
      <c r="D227">
        <f t="shared" si="13"/>
        <v>3.824576</v>
      </c>
      <c r="E227" s="19">
        <f t="shared" si="14"/>
        <v>150.57355711999998</v>
      </c>
      <c r="F227" s="19">
        <v>1053.54</v>
      </c>
      <c r="G227" s="23">
        <f>F227+E227</f>
        <v>1204.11355712</v>
      </c>
      <c r="J227" s="22" t="str">
        <f t="shared" si="12"/>
        <v>1204.11355712</v>
      </c>
    </row>
    <row r="228" spans="1:10" x14ac:dyDescent="0.15">
      <c r="A228" s="2" t="s">
        <v>411</v>
      </c>
      <c r="B228" s="2" t="s">
        <v>182</v>
      </c>
      <c r="C228" s="3">
        <v>3883.43</v>
      </c>
      <c r="D228">
        <f t="shared" si="13"/>
        <v>3.8834299999999997</v>
      </c>
      <c r="E228" s="19">
        <f t="shared" si="14"/>
        <v>152.89063909999999</v>
      </c>
      <c r="F228" s="19">
        <v>1052.04</v>
      </c>
      <c r="G228" s="23">
        <f t="shared" ref="G228:G236" si="17">F228+E228</f>
        <v>1204.9306391</v>
      </c>
      <c r="J228" s="22" t="str">
        <f t="shared" si="12"/>
        <v>1204.9306391</v>
      </c>
    </row>
    <row r="229" spans="1:10" x14ac:dyDescent="0.15">
      <c r="A229" s="2" t="s">
        <v>412</v>
      </c>
      <c r="B229" s="2" t="s">
        <v>183</v>
      </c>
      <c r="C229" s="3">
        <v>6076.4380000000001</v>
      </c>
      <c r="D229">
        <f t="shared" si="13"/>
        <v>6.0764380000000005</v>
      </c>
      <c r="E229" s="19">
        <f t="shared" si="14"/>
        <v>239.22936405999999</v>
      </c>
      <c r="F229" s="19">
        <v>1016.08</v>
      </c>
      <c r="G229" s="23">
        <f t="shared" si="17"/>
        <v>1255.30936406</v>
      </c>
      <c r="J229" s="22" t="str">
        <f t="shared" si="12"/>
        <v>1255.30936406</v>
      </c>
    </row>
    <row r="230" spans="1:10" x14ac:dyDescent="0.15">
      <c r="A230" s="2" t="s">
        <v>413</v>
      </c>
      <c r="B230" s="2" t="s">
        <v>184</v>
      </c>
      <c r="C230" s="3">
        <v>6147.0770000000002</v>
      </c>
      <c r="D230">
        <f t="shared" si="13"/>
        <v>6.1470770000000003</v>
      </c>
      <c r="E230" s="19">
        <f t="shared" si="14"/>
        <v>242.01042149</v>
      </c>
      <c r="F230" s="19">
        <v>1008.61</v>
      </c>
      <c r="G230" s="23">
        <f t="shared" si="17"/>
        <v>1250.6204214899999</v>
      </c>
      <c r="J230" s="22" t="str">
        <f t="shared" si="12"/>
        <v>1250.62042149</v>
      </c>
    </row>
    <row r="231" spans="1:10" x14ac:dyDescent="0.15">
      <c r="A231" s="2" t="s">
        <v>414</v>
      </c>
      <c r="B231" s="2" t="s">
        <v>185</v>
      </c>
      <c r="C231" s="3">
        <v>5644.0240000000003</v>
      </c>
      <c r="D231">
        <f t="shared" si="13"/>
        <v>5.6440239999999999</v>
      </c>
      <c r="E231" s="19">
        <f t="shared" si="14"/>
        <v>222.20522487999997</v>
      </c>
      <c r="F231" s="19">
        <v>1033.78</v>
      </c>
      <c r="G231" s="23">
        <f t="shared" si="17"/>
        <v>1255.98522488</v>
      </c>
      <c r="J231" s="22" t="str">
        <f t="shared" si="12"/>
        <v>1255.98522488</v>
      </c>
    </row>
    <row r="232" spans="1:10" x14ac:dyDescent="0.15">
      <c r="A232" s="2" t="s">
        <v>415</v>
      </c>
      <c r="B232" s="2" t="s">
        <v>186</v>
      </c>
      <c r="C232" s="3">
        <v>5779.9840000000004</v>
      </c>
      <c r="D232">
        <f t="shared" si="13"/>
        <v>5.7799840000000007</v>
      </c>
      <c r="E232" s="19">
        <f t="shared" si="14"/>
        <v>227.55797008000002</v>
      </c>
      <c r="F232" s="19">
        <v>1031.1500000000001</v>
      </c>
      <c r="G232" s="23">
        <f t="shared" si="17"/>
        <v>1258.70797008</v>
      </c>
      <c r="J232" s="22" t="str">
        <f t="shared" si="12"/>
        <v>1258.70797008</v>
      </c>
    </row>
    <row r="233" spans="1:10" x14ac:dyDescent="0.15">
      <c r="A233" s="2" t="s">
        <v>416</v>
      </c>
      <c r="B233" s="2" t="s">
        <v>187</v>
      </c>
      <c r="C233" s="3">
        <v>5287.4489999999996</v>
      </c>
      <c r="D233">
        <f t="shared" si="13"/>
        <v>5.2874489999999996</v>
      </c>
      <c r="E233" s="19">
        <f t="shared" si="14"/>
        <v>208.16686712999999</v>
      </c>
      <c r="F233" s="19">
        <v>1043.75</v>
      </c>
      <c r="G233" s="23">
        <f t="shared" si="17"/>
        <v>1251.9168671299999</v>
      </c>
      <c r="J233" s="22" t="str">
        <f t="shared" si="12"/>
        <v>1251.91686713</v>
      </c>
    </row>
    <row r="234" spans="1:10" x14ac:dyDescent="0.15">
      <c r="A234" s="2" t="s">
        <v>417</v>
      </c>
      <c r="B234" s="2" t="s">
        <v>188</v>
      </c>
      <c r="C234" s="3">
        <v>5372.4549999999999</v>
      </c>
      <c r="D234">
        <f t="shared" si="13"/>
        <v>5.3724549999999995</v>
      </c>
      <c r="E234" s="19">
        <f t="shared" si="14"/>
        <v>211.51355334999997</v>
      </c>
      <c r="F234" s="19">
        <v>1038.1300000000001</v>
      </c>
      <c r="G234" s="23">
        <f t="shared" si="17"/>
        <v>1249.64355335</v>
      </c>
      <c r="J234" s="22" t="str">
        <f t="shared" si="12"/>
        <v>1249.64355335</v>
      </c>
    </row>
    <row r="235" spans="1:10" x14ac:dyDescent="0.15">
      <c r="A235" s="2" t="s">
        <v>418</v>
      </c>
      <c r="B235" s="2" t="s">
        <v>465</v>
      </c>
      <c r="C235" s="3">
        <v>4279.5159999999996</v>
      </c>
      <c r="D235">
        <f t="shared" si="13"/>
        <v>4.2795159999999992</v>
      </c>
      <c r="E235" s="19">
        <f t="shared" si="14"/>
        <v>168.48454491999996</v>
      </c>
      <c r="F235" s="19">
        <v>1089</v>
      </c>
      <c r="G235" s="23">
        <f t="shared" si="17"/>
        <v>1257.48454492</v>
      </c>
      <c r="J235" s="22" t="str">
        <f t="shared" si="12"/>
        <v>1257.48454492</v>
      </c>
    </row>
    <row r="236" spans="1:10" x14ac:dyDescent="0.15">
      <c r="A236" s="2" t="s">
        <v>419</v>
      </c>
      <c r="B236" s="2" t="s">
        <v>466</v>
      </c>
      <c r="C236" s="3">
        <v>4388.1490000000003</v>
      </c>
      <c r="D236">
        <f t="shared" si="13"/>
        <v>4.3881490000000003</v>
      </c>
      <c r="E236" s="19">
        <f t="shared" si="14"/>
        <v>172.76142612999999</v>
      </c>
      <c r="F236" s="19">
        <v>1081</v>
      </c>
      <c r="G236" s="23">
        <f t="shared" si="17"/>
        <v>1253.76142613</v>
      </c>
      <c r="J236" s="22" t="str">
        <f t="shared" si="12"/>
        <v>1253.76142613</v>
      </c>
    </row>
    <row r="237" spans="1:10" x14ac:dyDescent="0.15">
      <c r="A237" s="15" t="s">
        <v>451</v>
      </c>
      <c r="B237" s="16"/>
      <c r="C237" s="16"/>
      <c r="D237">
        <f t="shared" si="13"/>
        <v>0</v>
      </c>
      <c r="E237" s="19">
        <f t="shared" si="14"/>
        <v>0</v>
      </c>
      <c r="J237" s="22" t="str">
        <f t="shared" si="12"/>
        <v/>
      </c>
    </row>
    <row r="238" spans="1:10" s="9" customFormat="1" x14ac:dyDescent="0.15">
      <c r="A238" s="7" t="s">
        <v>420</v>
      </c>
      <c r="B238" s="8" t="s">
        <v>189</v>
      </c>
      <c r="C238" s="6">
        <v>4670.1769999999997</v>
      </c>
      <c r="D238" s="9">
        <f t="shared" si="13"/>
        <v>4.6701769999999998</v>
      </c>
      <c r="E238" s="21">
        <f t="shared" si="14"/>
        <v>183.86486848999999</v>
      </c>
      <c r="F238" s="19">
        <v>393.67</v>
      </c>
      <c r="G238" s="23">
        <f>F238+E238</f>
        <v>577.53486849000001</v>
      </c>
      <c r="J238" s="22" t="str">
        <f t="shared" si="12"/>
        <v>577.53486849</v>
      </c>
    </row>
    <row r="239" spans="1:10" s="9" customFormat="1" x14ac:dyDescent="0.15">
      <c r="A239" s="8" t="s">
        <v>421</v>
      </c>
      <c r="B239" s="8" t="s">
        <v>190</v>
      </c>
      <c r="C239" s="6">
        <v>4810.5349999999999</v>
      </c>
      <c r="D239" s="9">
        <f t="shared" si="13"/>
        <v>4.8105349999999998</v>
      </c>
      <c r="E239" s="21">
        <f t="shared" si="14"/>
        <v>189.39076294999998</v>
      </c>
      <c r="F239" s="19">
        <v>385.77</v>
      </c>
      <c r="G239" s="23">
        <f t="shared" ref="G239:G250" si="18">F239+E239</f>
        <v>575.16076294999993</v>
      </c>
      <c r="J239" s="22" t="str">
        <f t="shared" si="12"/>
        <v>575.16076295</v>
      </c>
    </row>
    <row r="240" spans="1:10" s="9" customFormat="1" x14ac:dyDescent="0.15">
      <c r="A240" s="8" t="s">
        <v>422</v>
      </c>
      <c r="B240" s="8" t="s">
        <v>191</v>
      </c>
      <c r="C240" s="6">
        <v>5930.308</v>
      </c>
      <c r="D240" s="9">
        <f t="shared" si="13"/>
        <v>5.9303080000000001</v>
      </c>
      <c r="E240" s="21">
        <f t="shared" si="14"/>
        <v>233.47622595999999</v>
      </c>
      <c r="F240" s="19">
        <v>390.95</v>
      </c>
      <c r="G240" s="23">
        <f t="shared" si="18"/>
        <v>624.42622596000001</v>
      </c>
      <c r="J240" s="22" t="str">
        <f t="shared" si="12"/>
        <v>624.42622596</v>
      </c>
    </row>
    <row r="241" spans="1:10" s="9" customFormat="1" x14ac:dyDescent="0.15">
      <c r="A241" s="8" t="s">
        <v>423</v>
      </c>
      <c r="B241" s="8" t="s">
        <v>192</v>
      </c>
      <c r="C241" s="6">
        <v>6190.3130000000001</v>
      </c>
      <c r="D241" s="9">
        <f t="shared" si="13"/>
        <v>6.1903129999999997</v>
      </c>
      <c r="E241" s="21">
        <f t="shared" si="14"/>
        <v>243.71262280999997</v>
      </c>
      <c r="F241" s="19">
        <v>382.05</v>
      </c>
      <c r="G241" s="23">
        <f t="shared" si="18"/>
        <v>625.76262281000004</v>
      </c>
      <c r="J241" s="22" t="str">
        <f t="shared" ref="J241:J252" si="19">I241&amp;G241&amp;H241</f>
        <v>625.76262281</v>
      </c>
    </row>
    <row r="242" spans="1:10" x14ac:dyDescent="0.15">
      <c r="A242" s="2" t="s">
        <v>424</v>
      </c>
      <c r="B242" s="2" t="s">
        <v>193</v>
      </c>
      <c r="C242" s="3">
        <v>6459.1880000000001</v>
      </c>
      <c r="D242">
        <f t="shared" si="13"/>
        <v>6.4591880000000002</v>
      </c>
      <c r="E242" s="19">
        <f t="shared" si="14"/>
        <v>254.29823155999998</v>
      </c>
      <c r="F242" s="19">
        <v>372.17</v>
      </c>
      <c r="G242" s="23">
        <f t="shared" si="18"/>
        <v>626.46823156000005</v>
      </c>
      <c r="J242" s="22" t="str">
        <f t="shared" si="19"/>
        <v>626.46823156</v>
      </c>
    </row>
    <row r="243" spans="1:10" x14ac:dyDescent="0.15">
      <c r="A243" s="2" t="s">
        <v>425</v>
      </c>
      <c r="B243" s="2" t="s">
        <v>194</v>
      </c>
      <c r="C243" s="3">
        <v>6691.8710000000001</v>
      </c>
      <c r="D243">
        <f t="shared" si="13"/>
        <v>6.6918709999999999</v>
      </c>
      <c r="E243" s="19">
        <f t="shared" si="14"/>
        <v>263.45896126999997</v>
      </c>
      <c r="F243" s="19">
        <v>364.59</v>
      </c>
      <c r="G243" s="23">
        <f t="shared" si="18"/>
        <v>628.04896126999995</v>
      </c>
      <c r="J243" s="22" t="str">
        <f t="shared" si="19"/>
        <v>628.04896127</v>
      </c>
    </row>
    <row r="244" spans="1:10" s="9" customFormat="1" x14ac:dyDescent="0.15">
      <c r="A244" s="7" t="s">
        <v>426</v>
      </c>
      <c r="B244" s="8" t="s">
        <v>195</v>
      </c>
      <c r="C244" s="6">
        <v>6255.4080000000004</v>
      </c>
      <c r="D244" s="9">
        <f t="shared" si="13"/>
        <v>6.2554080000000001</v>
      </c>
      <c r="E244" s="21">
        <f t="shared" si="14"/>
        <v>246.27541295999998</v>
      </c>
      <c r="F244" s="19">
        <v>381.18</v>
      </c>
      <c r="G244" s="23">
        <f t="shared" si="18"/>
        <v>627.45541295999999</v>
      </c>
      <c r="J244" s="22" t="str">
        <f t="shared" si="19"/>
        <v>627.45541296</v>
      </c>
    </row>
    <row r="245" spans="1:10" s="9" customFormat="1" x14ac:dyDescent="0.15">
      <c r="A245" s="8" t="s">
        <v>427</v>
      </c>
      <c r="B245" s="8" t="s">
        <v>196</v>
      </c>
      <c r="C245" s="6">
        <v>6422.6940000000004</v>
      </c>
      <c r="D245" s="9">
        <f t="shared" si="13"/>
        <v>6.4226940000000008</v>
      </c>
      <c r="E245" s="21">
        <f t="shared" si="14"/>
        <v>252.86146278000001</v>
      </c>
      <c r="F245" s="19">
        <v>377.09</v>
      </c>
      <c r="G245" s="23">
        <f t="shared" si="18"/>
        <v>629.95146277999993</v>
      </c>
      <c r="J245" s="22" t="str">
        <f t="shared" si="19"/>
        <v>629.95146278</v>
      </c>
    </row>
    <row r="246" spans="1:10" x14ac:dyDescent="0.15">
      <c r="A246" s="2" t="s">
        <v>428</v>
      </c>
      <c r="B246" s="2" t="s">
        <v>197</v>
      </c>
      <c r="C246" s="3">
        <v>4686.7619999999997</v>
      </c>
      <c r="D246">
        <f t="shared" si="13"/>
        <v>4.6867619999999999</v>
      </c>
      <c r="E246" s="19">
        <f t="shared" si="14"/>
        <v>184.51781993999998</v>
      </c>
      <c r="F246" s="19">
        <v>440.77</v>
      </c>
      <c r="G246" s="23">
        <f t="shared" si="18"/>
        <v>625.28781993999996</v>
      </c>
      <c r="J246" s="22" t="str">
        <f t="shared" si="19"/>
        <v>625.28781994</v>
      </c>
    </row>
    <row r="247" spans="1:10" x14ac:dyDescent="0.15">
      <c r="A247" s="2" t="s">
        <v>429</v>
      </c>
      <c r="B247" s="2" t="s">
        <v>198</v>
      </c>
      <c r="C247" s="3">
        <v>4824.2879999999996</v>
      </c>
      <c r="D247">
        <f t="shared" ref="D247:D255" si="20">C247/1000</f>
        <v>4.8242879999999992</v>
      </c>
      <c r="E247" s="19">
        <f t="shared" ref="E247:E255" si="21">D247*39.37</f>
        <v>189.93221855999997</v>
      </c>
      <c r="F247" s="19">
        <v>432.45</v>
      </c>
      <c r="G247" s="23">
        <f t="shared" si="18"/>
        <v>622.38221855999996</v>
      </c>
      <c r="J247" s="22" t="str">
        <f t="shared" si="19"/>
        <v>622.38221856</v>
      </c>
    </row>
    <row r="248" spans="1:10" x14ac:dyDescent="0.15">
      <c r="A248" s="15" t="s">
        <v>452</v>
      </c>
      <c r="B248" s="16"/>
      <c r="C248" s="16"/>
      <c r="D248">
        <f t="shared" si="20"/>
        <v>0</v>
      </c>
      <c r="E248" s="19">
        <f t="shared" si="21"/>
        <v>0</v>
      </c>
      <c r="J248" s="22" t="str">
        <f t="shared" si="19"/>
        <v/>
      </c>
    </row>
    <row r="249" spans="1:10" x14ac:dyDescent="0.15">
      <c r="A249" s="2" t="s">
        <v>431</v>
      </c>
      <c r="B249" s="2" t="s">
        <v>200</v>
      </c>
      <c r="C249" s="3">
        <v>4874.0609999999997</v>
      </c>
      <c r="D249">
        <f t="shared" si="20"/>
        <v>4.8740609999999993</v>
      </c>
      <c r="E249" s="19">
        <f t="shared" si="21"/>
        <v>191.89178156999995</v>
      </c>
      <c r="F249" s="19">
        <v>3895</v>
      </c>
      <c r="G249" s="23">
        <f t="shared" si="18"/>
        <v>4086.8917815700001</v>
      </c>
      <c r="J249" s="22" t="str">
        <f t="shared" si="19"/>
        <v>4086.89178157</v>
      </c>
    </row>
    <row r="250" spans="1:10" x14ac:dyDescent="0.15">
      <c r="A250" s="2" t="s">
        <v>432</v>
      </c>
      <c r="B250" s="2" t="s">
        <v>201</v>
      </c>
      <c r="C250" s="3">
        <v>4740.9089999999997</v>
      </c>
      <c r="D250">
        <f t="shared" si="20"/>
        <v>4.7409089999999994</v>
      </c>
      <c r="E250" s="19">
        <f t="shared" si="21"/>
        <v>186.64958732999997</v>
      </c>
      <c r="F250" s="19">
        <v>3896</v>
      </c>
      <c r="G250" s="23">
        <f t="shared" si="18"/>
        <v>4082.64958733</v>
      </c>
      <c r="J250" s="22" t="str">
        <f t="shared" si="19"/>
        <v>4082.64958733</v>
      </c>
    </row>
    <row r="251" spans="1:10" x14ac:dyDescent="0.15">
      <c r="A251" s="2" t="s">
        <v>398</v>
      </c>
      <c r="B251" s="2" t="s">
        <v>169</v>
      </c>
      <c r="C251" s="3">
        <v>6034.2629999999999</v>
      </c>
      <c r="D251">
        <f t="shared" si="20"/>
        <v>6.0342630000000002</v>
      </c>
      <c r="E251" s="19">
        <f t="shared" si="21"/>
        <v>237.56893431</v>
      </c>
      <c r="F251" s="19">
        <v>2366.62</v>
      </c>
      <c r="G251" s="23">
        <f t="shared" ref="G251:G252" si="22">F251+E251</f>
        <v>2604.1889343099997</v>
      </c>
      <c r="J251" s="22" t="str">
        <f t="shared" si="19"/>
        <v>2604.18893431</v>
      </c>
    </row>
    <row r="252" spans="1:10" x14ac:dyDescent="0.15">
      <c r="A252" s="2" t="s">
        <v>399</v>
      </c>
      <c r="B252" s="2" t="s">
        <v>170</v>
      </c>
      <c r="C252" s="3">
        <v>6015.8310000000001</v>
      </c>
      <c r="D252">
        <f t="shared" si="20"/>
        <v>6.0158310000000004</v>
      </c>
      <c r="E252" s="19">
        <f t="shared" si="21"/>
        <v>236.84326647</v>
      </c>
      <c r="F252" s="19">
        <v>2365.7199999999998</v>
      </c>
      <c r="G252" s="23">
        <f t="shared" si="22"/>
        <v>2602.5632664699997</v>
      </c>
      <c r="J252" s="22" t="str">
        <f t="shared" si="19"/>
        <v>2602.56326647</v>
      </c>
    </row>
    <row r="253" spans="1:10" x14ac:dyDescent="0.15">
      <c r="A253" s="15" t="s">
        <v>458</v>
      </c>
      <c r="B253" s="16"/>
      <c r="C253" s="16"/>
      <c r="D253">
        <f t="shared" si="20"/>
        <v>0</v>
      </c>
      <c r="E253" s="19">
        <f t="shared" si="21"/>
        <v>0</v>
      </c>
    </row>
    <row r="254" spans="1:10" x14ac:dyDescent="0.15">
      <c r="A254" s="2" t="s">
        <v>433</v>
      </c>
      <c r="B254" s="2" t="s">
        <v>202</v>
      </c>
      <c r="C254" s="3">
        <v>4772.0910000000003</v>
      </c>
      <c r="D254">
        <f t="shared" si="20"/>
        <v>4.7720910000000005</v>
      </c>
      <c r="E254" s="19">
        <f t="shared" si="21"/>
        <v>187.87722267000001</v>
      </c>
    </row>
    <row r="255" spans="1:10" x14ac:dyDescent="0.15">
      <c r="A255" s="2" t="s">
        <v>434</v>
      </c>
      <c r="B255" s="2" t="s">
        <v>203</v>
      </c>
      <c r="C255" s="3">
        <v>4558.549</v>
      </c>
      <c r="D255">
        <f t="shared" si="20"/>
        <v>4.5585490000000002</v>
      </c>
      <c r="E255" s="19">
        <f t="shared" si="21"/>
        <v>179.47007413</v>
      </c>
    </row>
  </sheetData>
  <sortState ref="A159:G177">
    <sortCondition ref="B159:B177"/>
  </sortState>
  <mergeCells count="20">
    <mergeCell ref="A253:C253"/>
    <mergeCell ref="A1:C1"/>
    <mergeCell ref="A2:C2"/>
    <mergeCell ref="A237:C237"/>
    <mergeCell ref="A248:C248"/>
    <mergeCell ref="A99:C99"/>
    <mergeCell ref="A136:C136"/>
    <mergeCell ref="A147:C147"/>
    <mergeCell ref="A178:C178"/>
    <mergeCell ref="A129:C129"/>
    <mergeCell ref="A158:C158"/>
    <mergeCell ref="A183:C183"/>
    <mergeCell ref="A204:C204"/>
    <mergeCell ref="A215:C215"/>
    <mergeCell ref="A226:C226"/>
    <mergeCell ref="A4:C4"/>
    <mergeCell ref="A11:C11"/>
    <mergeCell ref="A88:C88"/>
    <mergeCell ref="A111:C111"/>
    <mergeCell ref="A122:C12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Pin Delay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2021-04-09T01:56:50Z</dcterms:modified>
</cp:coreProperties>
</file>